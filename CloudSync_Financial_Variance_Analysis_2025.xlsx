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jetfi\OneDrive\Desktop\Data Analysis Projects\CloudSync_Project\"/>
    </mc:Choice>
  </mc:AlternateContent>
  <xr:revisionPtr revIDLastSave="0" documentId="13_ncr:1_{32B7A919-4CA3-4634-9FB6-70C6701EE33A}" xr6:coauthVersionLast="47" xr6:coauthVersionMax="47" xr10:uidLastSave="{00000000-0000-0000-0000-000000000000}"/>
  <bookViews>
    <workbookView xWindow="-108" yWindow="-108" windowWidth="23256" windowHeight="12456" xr2:uid="{F93A6A58-9D94-4780-A8D4-6CD8FBC9CB56}"/>
  </bookViews>
  <sheets>
    <sheet name="Dashboard" sheetId="6" r:id="rId1"/>
    <sheet name="Analysis" sheetId="5" r:id="rId2"/>
    <sheet name="Cleaned_Data" sheetId="4" r:id="rId3"/>
    <sheet name="Actuals_Data" sheetId="2" r:id="rId4"/>
    <sheet name="Budget_Data" sheetId="3" r:id="rId5"/>
  </sheets>
  <definedNames>
    <definedName name="ExternalData_1" localSheetId="3" hidden="1">Actuals_Data!$A$1:$E$373</definedName>
    <definedName name="ExternalData_1" localSheetId="4" hidden="1">Budget_Data!$A$1:$E$373</definedName>
    <definedName name="ExternalData_2" localSheetId="2" hidden="1">Cleaned_Data!$A$1:$I$373</definedName>
    <definedName name="NativeTimeline_Month">#N/A</definedName>
    <definedName name="Slicer_Category">#N/A</definedName>
    <definedName name="Slicer_Depart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4" l="1"/>
  <c r="L4" i="4"/>
  <c r="L3" i="4"/>
  <c r="L2" i="4"/>
  <c r="L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012A78-BA78-46E1-A86F-ADD9A1BDBD88}" keepAlive="1" name="Query - Actual_v_Raw" description="Connection to the 'Actual_v_Raw' query in the workbook." type="5" refreshedVersion="8" background="1" saveData="1">
    <dbPr connection="Provider=Microsoft.Mashup.OleDb.1;Data Source=$Workbook$;Location=Actual_v_Raw;Extended Properties=&quot;&quot;" command="SELECT * FROM [Actual_v_Raw]"/>
  </connection>
  <connection id="2" xr16:uid="{03AFF55E-07A1-4771-ABB7-122F0223778A}" keepAlive="1" name="Query - Actuals_Raw" description="Connection to the 'Actuals_Raw' query in the workbook." type="5" refreshedVersion="8" background="1" saveData="1">
    <dbPr connection="Provider=Microsoft.Mashup.OleDb.1;Data Source=$Workbook$;Location=Actuals_Raw;Extended Properties=&quot;&quot;" command="SELECT * FROM [Actuals_Raw]"/>
  </connection>
  <connection id="3" xr16:uid="{4227BD94-2459-4D5A-9AA6-78E7272D81AA}" keepAlive="1" name="Query - Budget_Raw" description="Connection to the 'Budget_Raw' query in the workbook." type="5" refreshedVersion="8" background="1" saveData="1">
    <dbPr connection="Provider=Microsoft.Mashup.OleDb.1;Data Source=$Workbook$;Location=Budget_Raw;Extended Properties=&quot;&quot;" command="SELECT * FROM [Budget_Raw]"/>
  </connection>
</connections>
</file>

<file path=xl/sharedStrings.xml><?xml version="1.0" encoding="utf-8"?>
<sst xmlns="http://schemas.openxmlformats.org/spreadsheetml/2006/main" count="3788" uniqueCount="85">
  <si>
    <t>Month</t>
  </si>
  <si>
    <t>Category</t>
  </si>
  <si>
    <t>Account</t>
  </si>
  <si>
    <t>Department</t>
  </si>
  <si>
    <t>Actual_Amount</t>
  </si>
  <si>
    <t>Revenue</t>
  </si>
  <si>
    <t>Subscription Revenue - Starter</t>
  </si>
  <si>
    <t>Sales</t>
  </si>
  <si>
    <t>Subscription Revenue - Professional</t>
  </si>
  <si>
    <t>Subscription Revenue - Enterprise</t>
  </si>
  <si>
    <t>Professional Services Revenue</t>
  </si>
  <si>
    <t>Customer Success</t>
  </si>
  <si>
    <t>Setup &amp; Onboarding Fees</t>
  </si>
  <si>
    <t>Cost of Revenue</t>
  </si>
  <si>
    <t>Cloud Hosting &amp; Infrastructure</t>
  </si>
  <si>
    <t>Operations</t>
  </si>
  <si>
    <t>Customer Support Salaries</t>
  </si>
  <si>
    <t>Payment Processing Fees</t>
  </si>
  <si>
    <t>Finance</t>
  </si>
  <si>
    <t>Third-Party Software Licenses</t>
  </si>
  <si>
    <t>Sales &amp; Marketing</t>
  </si>
  <si>
    <t>Digital Marketing &amp; Advertising</t>
  </si>
  <si>
    <t>Marketing</t>
  </si>
  <si>
    <t>Sales Team Salaries</t>
  </si>
  <si>
    <t>Marketing Team Salaries</t>
  </si>
  <si>
    <t>Sales Commissions</t>
  </si>
  <si>
    <t>Marketing Tools &amp; Platforms</t>
  </si>
  <si>
    <t>Events &amp; Conferences</t>
  </si>
  <si>
    <t>Sales Development Tools</t>
  </si>
  <si>
    <t>Research &amp; Development</t>
  </si>
  <si>
    <t>Engineering Team Salaries</t>
  </si>
  <si>
    <t>Engineering</t>
  </si>
  <si>
    <t>Product Team Salaries</t>
  </si>
  <si>
    <t>Product</t>
  </si>
  <si>
    <t>Development Tools &amp; Software</t>
  </si>
  <si>
    <t>QA &amp; Testing</t>
  </si>
  <si>
    <t>Cloud Development Environment</t>
  </si>
  <si>
    <t>General &amp; Administrative</t>
  </si>
  <si>
    <t>Executive Team Salaries</t>
  </si>
  <si>
    <t>Executive</t>
  </si>
  <si>
    <t>Finance Team Salaries</t>
  </si>
  <si>
    <t>Operations Team Salaries</t>
  </si>
  <si>
    <t>Office Rent &amp; Facilities</t>
  </si>
  <si>
    <t>Legal &amp; Compliance</t>
  </si>
  <si>
    <t>Accounting &amp; Audit Fees</t>
  </si>
  <si>
    <t>HR &amp; Recruiting</t>
  </si>
  <si>
    <t>Insurance</t>
  </si>
  <si>
    <t>IT &amp; Office Equipment</t>
  </si>
  <si>
    <t>Office Supplies &amp; Misc</t>
  </si>
  <si>
    <t>Budget_Amount</t>
  </si>
  <si>
    <t>Variance_Dollar</t>
  </si>
  <si>
    <t>Variance_Percent</t>
  </si>
  <si>
    <t>Variance_Type</t>
  </si>
  <si>
    <t>Unfavorable</t>
  </si>
  <si>
    <t>Favorable</t>
  </si>
  <si>
    <t>Sum of Actual_Amount</t>
  </si>
  <si>
    <t>Sum of Budget_Amount</t>
  </si>
  <si>
    <t>Sum of Variance_Dollar</t>
  </si>
  <si>
    <t>Row Labels</t>
  </si>
  <si>
    <t>Grand Total</t>
  </si>
  <si>
    <t>OVERALL PERFORMANCE - ACTUAL VS BUDGET</t>
  </si>
  <si>
    <t>Jan</t>
  </si>
  <si>
    <t>Feb</t>
  </si>
  <si>
    <t>Mar</t>
  </si>
  <si>
    <t>Apr</t>
  </si>
  <si>
    <t>May</t>
  </si>
  <si>
    <t>Jun</t>
  </si>
  <si>
    <t>Jul</t>
  </si>
  <si>
    <t>Aug</t>
  </si>
  <si>
    <t>Sep</t>
  </si>
  <si>
    <t>Oct</t>
  </si>
  <si>
    <t>Nov</t>
  </si>
  <si>
    <t>Dec</t>
  </si>
  <si>
    <t>MONTHLY VARIANCE TREND</t>
  </si>
  <si>
    <t>VARIANCE BY DEPARTMENT</t>
  </si>
  <si>
    <t>VARIANCE BY CATEGORY</t>
  </si>
  <si>
    <t>TOP 15 ACCOUNTS BY VARIANCE</t>
  </si>
  <si>
    <t>Actual Revenue</t>
  </si>
  <si>
    <t>Actual Expense</t>
  </si>
  <si>
    <t>Profit/Loss</t>
  </si>
  <si>
    <t>Revenue Variance</t>
  </si>
  <si>
    <t>Expense Variance</t>
  </si>
  <si>
    <t>Budget Amount</t>
  </si>
  <si>
    <t>Actual Amount</t>
  </si>
  <si>
    <t>Variance Dollar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</si>
</sst>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4" x14ac:knownFonts="1">
    <font>
      <sz val="11"/>
      <color theme="1"/>
      <name val="Calibri"/>
      <family val="2"/>
      <scheme val="minor"/>
    </font>
    <font>
      <sz val="11"/>
      <color theme="1"/>
      <name val="Calibri"/>
      <family val="2"/>
      <scheme val="minor"/>
    </font>
    <font>
      <sz val="8"/>
      <name val="Calibri"/>
      <family val="2"/>
      <scheme val="minor"/>
    </font>
    <font>
      <b/>
      <sz val="15"/>
      <color theme="0"/>
      <name val="Calibri"/>
      <family val="2"/>
      <scheme val="minor"/>
    </font>
  </fonts>
  <fills count="5">
    <fill>
      <patternFill patternType="none"/>
    </fill>
    <fill>
      <patternFill patternType="gray125"/>
    </fill>
    <fill>
      <patternFill patternType="solid">
        <fgColor theme="9" tint="-0.499984740745262"/>
        <bgColor indexed="64"/>
      </patternFill>
    </fill>
    <fill>
      <patternFill patternType="solid">
        <fgColor theme="9" tint="0.59999389629810485"/>
        <bgColor indexed="64"/>
      </patternFill>
    </fill>
    <fill>
      <patternFill patternType="solid">
        <fgColor theme="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164" fontId="0" fillId="0" borderId="0" xfId="0" applyNumberFormat="1"/>
    <xf numFmtId="164" fontId="0" fillId="0" borderId="0" xfId="1" applyNumberFormat="1" applyFont="1"/>
    <xf numFmtId="9" fontId="0" fillId="0" borderId="0" xfId="2" applyFont="1"/>
    <xf numFmtId="0" fontId="0" fillId="0" borderId="0" xfId="0" pivotButton="1"/>
    <xf numFmtId="0" fontId="0" fillId="0" borderId="0" xfId="0" applyAlignment="1">
      <alignment horizontal="left"/>
    </xf>
    <xf numFmtId="9" fontId="0" fillId="0" borderId="0" xfId="0" applyNumberFormat="1"/>
    <xf numFmtId="0" fontId="0" fillId="2" borderId="0" xfId="0" applyFill="1"/>
    <xf numFmtId="0" fontId="0" fillId="3" borderId="0" xfId="0" applyFill="1"/>
    <xf numFmtId="0" fontId="3" fillId="2" borderId="0" xfId="0" applyFont="1" applyFill="1" applyAlignment="1">
      <alignment vertical="center"/>
    </xf>
    <xf numFmtId="0" fontId="3" fillId="4" borderId="0" xfId="0" applyFont="1" applyFill="1" applyAlignment="1">
      <alignment vertical="center"/>
    </xf>
    <xf numFmtId="0" fontId="0" fillId="2" borderId="0" xfId="0" applyFill="1" applyAlignment="1">
      <alignment horizontal="center"/>
    </xf>
    <xf numFmtId="0" fontId="3" fillId="2" borderId="0" xfId="0" applyFont="1" applyFill="1" applyAlignment="1">
      <alignment horizontal="left" vertical="center"/>
    </xf>
  </cellXfs>
  <cellStyles count="3">
    <cellStyle name="Currency" xfId="1" builtinId="4"/>
    <cellStyle name="Normal" xfId="0" builtinId="0"/>
    <cellStyle name="Percent" xfId="2" builtinId="5"/>
  </cellStyles>
  <dxfs count="19">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19" formatCode="dd/mm/yyyy"/>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[CloudSync_Financial_Variance_Analysis_2025.xlsx]Analysis!PivotTable2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i="0" u="none" strike="noStrike" baseline="0">
                <a:solidFill>
                  <a:schemeClr val="tx1"/>
                </a:solidFill>
              </a:rPr>
              <a:t>Monthly Actual vs Budget</a:t>
            </a:r>
            <a:endParaRPr lang="en-IN" sz="15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38100"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Analysis!$C$14</c:f>
              <c:strCache>
                <c:ptCount val="1"/>
                <c:pt idx="0">
                  <c:v>Budget Amount</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dLbls>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Analysis!$C$15:$C$27</c:f>
              <c:numCache>
                <c:formatCode>_-[$$-409]* #,##0.00_ ;_-[$$-409]* \-#,##0.00\ ;_-[$$-409]* "-"??_ ;_-@_ </c:formatCode>
                <c:ptCount val="12"/>
                <c:pt idx="0">
                  <c:v>271500</c:v>
                </c:pt>
                <c:pt idx="1">
                  <c:v>271500</c:v>
                </c:pt>
                <c:pt idx="2">
                  <c:v>271500</c:v>
                </c:pt>
                <c:pt idx="3">
                  <c:v>271500</c:v>
                </c:pt>
                <c:pt idx="4">
                  <c:v>271500</c:v>
                </c:pt>
                <c:pt idx="5">
                  <c:v>271500</c:v>
                </c:pt>
                <c:pt idx="6">
                  <c:v>271500</c:v>
                </c:pt>
                <c:pt idx="7">
                  <c:v>271500</c:v>
                </c:pt>
                <c:pt idx="8">
                  <c:v>271500</c:v>
                </c:pt>
                <c:pt idx="9">
                  <c:v>271500</c:v>
                </c:pt>
                <c:pt idx="10">
                  <c:v>271500</c:v>
                </c:pt>
                <c:pt idx="11">
                  <c:v>271500</c:v>
                </c:pt>
              </c:numCache>
            </c:numRef>
          </c:val>
          <c:smooth val="0"/>
          <c:extLst>
            <c:ext xmlns:c16="http://schemas.microsoft.com/office/drawing/2014/chart" uri="{C3380CC4-5D6E-409C-BE32-E72D297353CC}">
              <c16:uniqueId val="{00000000-C164-406A-8088-62AD4B5AA457}"/>
            </c:ext>
          </c:extLst>
        </c:ser>
        <c:ser>
          <c:idx val="1"/>
          <c:order val="1"/>
          <c:tx>
            <c:strRef>
              <c:f>Analysis!$D$14</c:f>
              <c:strCache>
                <c:ptCount val="1"/>
                <c:pt idx="0">
                  <c:v>Actual Amount</c:v>
                </c:pt>
              </c:strCache>
            </c:strRef>
          </c:tx>
          <c:spPr>
            <a:ln w="38100"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dLbls>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Analysis!$D$15:$D$27</c:f>
              <c:numCache>
                <c:formatCode>_-[$$-409]* #,##0.00_ ;_-[$$-409]* \-#,##0.00\ ;_-[$$-409]* "-"??_ ;_-@_ </c:formatCode>
                <c:ptCount val="12"/>
                <c:pt idx="0">
                  <c:v>255746.3</c:v>
                </c:pt>
                <c:pt idx="1">
                  <c:v>273862.57999999996</c:v>
                </c:pt>
                <c:pt idx="2">
                  <c:v>302015.11</c:v>
                </c:pt>
                <c:pt idx="3">
                  <c:v>299577.3</c:v>
                </c:pt>
                <c:pt idx="4">
                  <c:v>301968.51</c:v>
                </c:pt>
                <c:pt idx="5">
                  <c:v>305143.04000000004</c:v>
                </c:pt>
                <c:pt idx="6">
                  <c:v>311230.96000000002</c:v>
                </c:pt>
                <c:pt idx="7">
                  <c:v>323390.93</c:v>
                </c:pt>
                <c:pt idx="8">
                  <c:v>325186.92999999993</c:v>
                </c:pt>
                <c:pt idx="9">
                  <c:v>332729.45</c:v>
                </c:pt>
                <c:pt idx="10">
                  <c:v>376375.72</c:v>
                </c:pt>
                <c:pt idx="11">
                  <c:v>378481.61</c:v>
                </c:pt>
              </c:numCache>
            </c:numRef>
          </c:val>
          <c:smooth val="0"/>
          <c:extLst>
            <c:ext xmlns:c16="http://schemas.microsoft.com/office/drawing/2014/chart" uri="{C3380CC4-5D6E-409C-BE32-E72D297353CC}">
              <c16:uniqueId val="{00000001-C164-406A-8088-62AD4B5AA457}"/>
            </c:ext>
          </c:extLst>
        </c:ser>
        <c:dLbls>
          <c:showLegendKey val="0"/>
          <c:showVal val="0"/>
          <c:showCatName val="0"/>
          <c:showSerName val="0"/>
          <c:showPercent val="0"/>
          <c:showBubbleSize val="0"/>
        </c:dLbls>
        <c:marker val="1"/>
        <c:smooth val="0"/>
        <c:axId val="113421343"/>
        <c:axId val="113424223"/>
      </c:lineChart>
      <c:catAx>
        <c:axId val="1134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24223"/>
        <c:crosses val="autoZero"/>
        <c:auto val="1"/>
        <c:lblAlgn val="ctr"/>
        <c:lblOffset val="100"/>
        <c:noMultiLvlLbl val="0"/>
      </c:catAx>
      <c:valAx>
        <c:axId val="113424223"/>
        <c:scaling>
          <c:orientation val="minMax"/>
        </c:scaling>
        <c:delete val="0"/>
        <c:axPos val="l"/>
        <c:numFmt formatCode="[$$-409]#,##0.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21343"/>
        <c:crosses val="autoZero"/>
        <c:crossBetween val="between"/>
        <c:majorUnit val="200000"/>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[CloudSync_Financial_Variance_Analysis_2025.xlsx]Analysis!PivotTable4</c:name>
    <c:fmtId val="3"/>
  </c:pivotSource>
  <c:chart>
    <c:title>
      <c:tx>
        <c:rich>
          <a:bodyPr/>
          <a:lstStyle/>
          <a:p>
            <a:pPr>
              <a:defRPr/>
            </a:pPr>
            <a:r>
              <a:rPr lang="en-IN" sz="1500" b="1" i="0" u="none" strike="noStrike" baseline="0"/>
              <a:t>Budget Variance by Category</a:t>
            </a:r>
            <a:endParaRPr lang="en-US" sz="1500"/>
          </a:p>
        </c:rich>
      </c:tx>
      <c:overlay val="0"/>
    </c:title>
    <c:autoTitleDeleted val="0"/>
    <c:pivotFmts>
      <c:pivotFmt>
        <c:idx val="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6">
              <a:tint val="58000"/>
            </a:schemeClr>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6">
              <a:tint val="86000"/>
            </a:schemeClr>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6">
              <a:shade val="86000"/>
            </a:schemeClr>
          </a:solidFill>
          <a:ln>
            <a:noFill/>
          </a:ln>
          <a:effectLst/>
        </c:spPr>
        <c:marker>
          <c:symbol val="none"/>
        </c:marker>
        <c:dLbl>
          <c:idx val="0"/>
          <c:numFmt formatCode="[$$-409]#,##0.0\K" sourceLinked="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hade val="58000"/>
            </a:schemeClr>
          </a:solidFill>
          <a:ln>
            <a:noFill/>
          </a:ln>
          <a:effectLst/>
        </c:spPr>
        <c:marker>
          <c:symbol val="none"/>
        </c:marker>
        <c:dLbl>
          <c:idx val="0"/>
          <c:delete val="1"/>
          <c:extLst>
            <c:ext xmlns:c15="http://schemas.microsoft.com/office/drawing/2012/chart" uri="{CE6537A1-D6FC-4f65-9D91-7224C49458BB}"/>
          </c:extLst>
        </c:dLbl>
      </c:pivotFmt>
      <c:pivotFmt>
        <c:idx val="24"/>
      </c:pivotFmt>
    </c:pivotFmts>
    <c:plotArea>
      <c:layout/>
      <c:barChart>
        <c:barDir val="col"/>
        <c:grouping val="clustered"/>
        <c:varyColors val="0"/>
        <c:ser>
          <c:idx val="0"/>
          <c:order val="0"/>
          <c:tx>
            <c:strRef>
              <c:f>Analysis!$C$44</c:f>
              <c:strCache>
                <c:ptCount val="1"/>
                <c:pt idx="0">
                  <c:v>Total</c:v>
                </c:pt>
              </c:strCache>
            </c:strRef>
          </c:tx>
          <c:spPr>
            <a:solidFill>
              <a:schemeClr val="accent6">
                <a:shade val="86000"/>
              </a:schemeClr>
            </a:solidFill>
            <a:ln>
              <a:noFill/>
            </a:ln>
            <a:effectLst/>
          </c:spPr>
          <c:invertIfNegative val="0"/>
          <c:dLbls>
            <c:numFmt formatCode="[$$-409]#,##0.0\K" sourceLinked="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Analysis!$B$45:$B$46</c:f>
              <c:strCache>
                <c:ptCount val="1"/>
                <c:pt idx="0">
                  <c:v>Revenue</c:v>
                </c:pt>
              </c:strCache>
            </c:strRef>
          </c:cat>
          <c:val>
            <c:numRef>
              <c:f>Analysis!$C$45:$C$46</c:f>
              <c:numCache>
                <c:formatCode>_-[$$-409]* #,##0.00_ ;_-[$$-409]* \-#,##0.00\ ;_-[$$-409]* "-"??_ ;_-@_ </c:formatCode>
                <c:ptCount val="1"/>
                <c:pt idx="0">
                  <c:v>527708.44000000006</c:v>
                </c:pt>
              </c:numCache>
            </c:numRef>
          </c:val>
          <c:extLst>
            <c:ext xmlns:c16="http://schemas.microsoft.com/office/drawing/2014/chart" uri="{C3380CC4-5D6E-409C-BE32-E72D297353CC}">
              <c16:uniqueId val="{00000005-0257-4F3B-BF6E-BA5F846C7387}"/>
            </c:ext>
          </c:extLst>
        </c:ser>
        <c:dLbls>
          <c:showLegendKey val="0"/>
          <c:showVal val="0"/>
          <c:showCatName val="0"/>
          <c:showSerName val="0"/>
          <c:showPercent val="0"/>
          <c:showBubbleSize val="0"/>
        </c:dLbls>
        <c:gapWidth val="219"/>
        <c:overlap val="-27"/>
        <c:axId val="16281103"/>
        <c:axId val="16273903"/>
      </c:barChart>
      <c:catAx>
        <c:axId val="1628110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903"/>
        <c:crosses val="autoZero"/>
        <c:auto val="1"/>
        <c:lblAlgn val="ctr"/>
        <c:lblOffset val="300"/>
        <c:noMultiLvlLbl val="0"/>
      </c:catAx>
      <c:valAx>
        <c:axId val="16273903"/>
        <c:scaling>
          <c:orientation val="minMax"/>
        </c:scaling>
        <c:delete val="0"/>
        <c:axPos val="l"/>
        <c:majorGridlines>
          <c:spPr>
            <a:ln w="9525" cap="flat" cmpd="sng" algn="ctr">
              <a:solidFill>
                <a:schemeClr val="tx1">
                  <a:lumMod val="15000"/>
                  <a:lumOff val="85000"/>
                </a:schemeClr>
              </a:solidFill>
              <a:round/>
            </a:ln>
            <a:effectLst/>
          </c:spPr>
        </c:majorGridlines>
        <c:numFmt formatCode="[$$-409]#,##0.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1103"/>
        <c:crosses val="autoZero"/>
        <c:crossBetween val="between"/>
        <c:dispUnits>
          <c:builtInUnit val="thousands"/>
        </c:dispUnits>
      </c:valAx>
    </c:plotArea>
    <c:plotVisOnly val="1"/>
    <c:dispBlanksAs val="gap"/>
    <c:showDLblsOverMax val="0"/>
    <c:extLst/>
  </c:chart>
  <c:spPr>
    <a:ln w="12700">
      <a:solidFill>
        <a:schemeClr val="accent6">
          <a:lumMod val="5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[CloudSync_Financial_Variance_Analysis_2025.xlsx]Analysis!PivotTable3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i="0" u="none" strike="noStrike" baseline="0">
                <a:solidFill>
                  <a:schemeClr val="tx1"/>
                </a:solidFill>
              </a:rPr>
              <a:t>Budget Variance by Department</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dLbl>
          <c:idx val="0"/>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Analysis!$C$31</c:f>
              <c:strCache>
                <c:ptCount val="1"/>
                <c:pt idx="0">
                  <c:v>Total</c:v>
                </c:pt>
              </c:strCache>
            </c:strRef>
          </c:tx>
          <c:spPr>
            <a:solidFill>
              <a:schemeClr val="accent6"/>
            </a:solidFill>
            <a:ln>
              <a:noFill/>
            </a:ln>
            <a:effectLst/>
          </c:spPr>
          <c:invertIfNegative val="0"/>
          <c:dPt>
            <c:idx val="7"/>
            <c:invertIfNegative val="0"/>
            <c:bubble3D val="0"/>
            <c:extLst>
              <c:ext xmlns:c16="http://schemas.microsoft.com/office/drawing/2014/chart" uri="{C3380CC4-5D6E-409C-BE32-E72D297353CC}">
                <c16:uniqueId val="{00000001-2EED-43F1-80B2-06166720CE15}"/>
              </c:ext>
            </c:extLst>
          </c:dPt>
          <c:dLbls>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Analysis!$B$32:$B$34</c:f>
              <c:strCache>
                <c:ptCount val="2"/>
                <c:pt idx="0">
                  <c:v>Sales</c:v>
                </c:pt>
                <c:pt idx="1">
                  <c:v>Customer Success</c:v>
                </c:pt>
              </c:strCache>
            </c:strRef>
          </c:cat>
          <c:val>
            <c:numRef>
              <c:f>Analysis!$C$32:$C$34</c:f>
              <c:numCache>
                <c:formatCode>_-[$$-409]* #,##0.00_ ;_-[$$-409]* \-#,##0.00\ ;_-[$$-409]* "-"??_ ;_-@_ </c:formatCode>
                <c:ptCount val="2"/>
                <c:pt idx="0">
                  <c:v>457233.76000000007</c:v>
                </c:pt>
                <c:pt idx="1">
                  <c:v>70474.679999999993</c:v>
                </c:pt>
              </c:numCache>
            </c:numRef>
          </c:val>
          <c:extLst>
            <c:ext xmlns:c16="http://schemas.microsoft.com/office/drawing/2014/chart" uri="{C3380CC4-5D6E-409C-BE32-E72D297353CC}">
              <c16:uniqueId val="{00000000-B849-444C-AD78-3EBB7F32CEAF}"/>
            </c:ext>
          </c:extLst>
        </c:ser>
        <c:dLbls>
          <c:showLegendKey val="0"/>
          <c:showVal val="0"/>
          <c:showCatName val="0"/>
          <c:showSerName val="0"/>
          <c:showPercent val="0"/>
          <c:showBubbleSize val="0"/>
        </c:dLbls>
        <c:gapWidth val="219"/>
        <c:axId val="972889919"/>
        <c:axId val="972890399"/>
      </c:barChart>
      <c:catAx>
        <c:axId val="972889919"/>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90399"/>
        <c:crosses val="autoZero"/>
        <c:auto val="1"/>
        <c:lblAlgn val="ctr"/>
        <c:lblOffset val="500"/>
        <c:noMultiLvlLbl val="0"/>
      </c:catAx>
      <c:valAx>
        <c:axId val="972890399"/>
        <c:scaling>
          <c:orientation val="minMax"/>
        </c:scaling>
        <c:delete val="0"/>
        <c:axPos val="b"/>
        <c:majorGridlines>
          <c:spPr>
            <a:ln w="9525" cap="flat" cmpd="sng" algn="ctr">
              <a:solidFill>
                <a:schemeClr val="tx1">
                  <a:lumMod val="15000"/>
                  <a:lumOff val="85000"/>
                </a:schemeClr>
              </a:solidFill>
              <a:round/>
            </a:ln>
            <a:effectLst/>
          </c:spPr>
        </c:majorGridlines>
        <c:numFmt formatCode="[$$-409]#,##0.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8991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[CloudSync_Financial_Variance_Analysis_2025.xlsx]Analysis!PivotTable5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i="0" u="none" strike="noStrike" baseline="0"/>
              <a:t>Top 15 Accounts by Variance</a:t>
            </a:r>
            <a:endParaRPr lang="en-US" sz="15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Analysis!$C$54</c:f>
              <c:strCache>
                <c:ptCount val="1"/>
                <c:pt idx="0">
                  <c:v>Total</c:v>
                </c:pt>
              </c:strCache>
            </c:strRef>
          </c:tx>
          <c:spPr>
            <a:solidFill>
              <a:schemeClr val="accent6"/>
            </a:solidFill>
            <a:ln>
              <a:noFill/>
            </a:ln>
            <a:effectLst/>
          </c:spPr>
          <c:invertIfNegative val="0"/>
          <c:dLbls>
            <c:numFmt formatCode="[$$-409]#,##0.0\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Analysis!$B$55:$B$60</c:f>
              <c:strCache>
                <c:ptCount val="5"/>
                <c:pt idx="0">
                  <c:v>Setup &amp; Onboarding Fees</c:v>
                </c:pt>
                <c:pt idx="1">
                  <c:v>Professional Services Revenue</c:v>
                </c:pt>
                <c:pt idx="2">
                  <c:v>Subscription Revenue - Starter</c:v>
                </c:pt>
                <c:pt idx="3">
                  <c:v>Subscription Revenue - Professional</c:v>
                </c:pt>
                <c:pt idx="4">
                  <c:v>Subscription Revenue - Enterprise</c:v>
                </c:pt>
              </c:strCache>
            </c:strRef>
          </c:cat>
          <c:val>
            <c:numRef>
              <c:f>Analysis!$C$55:$C$60</c:f>
              <c:numCache>
                <c:formatCode>_-[$$-409]* #,##0.00_ ;_-[$$-409]* \-#,##0.00\ ;_-[$$-409]* "-"??_ ;_-@_ </c:formatCode>
                <c:ptCount val="5"/>
                <c:pt idx="0">
                  <c:v>17274.98</c:v>
                </c:pt>
                <c:pt idx="1">
                  <c:v>53199.700000000004</c:v>
                </c:pt>
                <c:pt idx="2">
                  <c:v>95269.209999999992</c:v>
                </c:pt>
                <c:pt idx="3">
                  <c:v>141856.24</c:v>
                </c:pt>
                <c:pt idx="4">
                  <c:v>220108.31</c:v>
                </c:pt>
              </c:numCache>
            </c:numRef>
          </c:val>
          <c:extLst>
            <c:ext xmlns:c16="http://schemas.microsoft.com/office/drawing/2014/chart" uri="{C3380CC4-5D6E-409C-BE32-E72D297353CC}">
              <c16:uniqueId val="{00000000-90A7-4320-B461-D64DBB30BEC2}"/>
            </c:ext>
          </c:extLst>
        </c:ser>
        <c:dLbls>
          <c:showLegendKey val="0"/>
          <c:showVal val="0"/>
          <c:showCatName val="0"/>
          <c:showSerName val="0"/>
          <c:showPercent val="0"/>
          <c:showBubbleSize val="0"/>
        </c:dLbls>
        <c:gapWidth val="182"/>
        <c:axId val="972909599"/>
        <c:axId val="972905279"/>
      </c:barChart>
      <c:catAx>
        <c:axId val="972909599"/>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05279"/>
        <c:crosses val="autoZero"/>
        <c:auto val="1"/>
        <c:lblAlgn val="ctr"/>
        <c:lblOffset val="100"/>
        <c:noMultiLvlLbl val="0"/>
      </c:catAx>
      <c:valAx>
        <c:axId val="972905279"/>
        <c:scaling>
          <c:orientation val="minMax"/>
        </c:scaling>
        <c:delete val="0"/>
        <c:axPos val="b"/>
        <c:majorGridlines>
          <c:spPr>
            <a:ln w="9525" cap="flat" cmpd="sng" algn="ctr">
              <a:solidFill>
                <a:schemeClr val="tx1">
                  <a:lumMod val="15000"/>
                  <a:lumOff val="85000"/>
                </a:schemeClr>
              </a:solidFill>
              <a:round/>
            </a:ln>
            <a:effectLst/>
          </c:spPr>
        </c:majorGridlines>
        <c:numFmt formatCode="[$$-409]#,##0.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0959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210094</xdr:colOff>
      <xdr:row>0</xdr:row>
      <xdr:rowOff>139523</xdr:rowOff>
    </xdr:from>
    <xdr:to>
      <xdr:col>9</xdr:col>
      <xdr:colOff>210094</xdr:colOff>
      <xdr:row>5</xdr:row>
      <xdr:rowOff>162382</xdr:rowOff>
    </xdr:to>
    <xdr:sp macro="" textlink="">
      <xdr:nvSpPr>
        <xdr:cNvPr id="2" name="Rectangle: Rounded Corners 1">
          <a:extLst>
            <a:ext uri="{FF2B5EF4-FFF2-40B4-BE49-F238E27FC236}">
              <a16:creationId xmlns:a16="http://schemas.microsoft.com/office/drawing/2014/main" id="{E19BD21B-EF80-1412-3905-54F2F1E17B1E}"/>
            </a:ext>
          </a:extLst>
        </xdr:cNvPr>
        <xdr:cNvSpPr/>
      </xdr:nvSpPr>
      <xdr:spPr>
        <a:xfrm>
          <a:off x="3880573" y="139523"/>
          <a:ext cx="1835239" cy="935113"/>
        </a:xfrm>
        <a:prstGeom prst="round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225334</xdr:colOff>
      <xdr:row>0</xdr:row>
      <xdr:rowOff>147143</xdr:rowOff>
    </xdr:from>
    <xdr:to>
      <xdr:col>13</xdr:col>
      <xdr:colOff>225334</xdr:colOff>
      <xdr:row>5</xdr:row>
      <xdr:rowOff>170002</xdr:rowOff>
    </xdr:to>
    <xdr:sp macro="" textlink="">
      <xdr:nvSpPr>
        <xdr:cNvPr id="3" name="Rectangle: Rounded Corners 2">
          <a:extLst>
            <a:ext uri="{FF2B5EF4-FFF2-40B4-BE49-F238E27FC236}">
              <a16:creationId xmlns:a16="http://schemas.microsoft.com/office/drawing/2014/main" id="{56F55156-715F-4EC4-A447-6C8D214D51B5}"/>
            </a:ext>
          </a:extLst>
        </xdr:cNvPr>
        <xdr:cNvSpPr/>
      </xdr:nvSpPr>
      <xdr:spPr>
        <a:xfrm>
          <a:off x="6342799" y="147143"/>
          <a:ext cx="1835239" cy="935113"/>
        </a:xfrm>
        <a:prstGeom prst="round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240574</xdr:colOff>
      <xdr:row>0</xdr:row>
      <xdr:rowOff>147143</xdr:rowOff>
    </xdr:from>
    <xdr:to>
      <xdr:col>17</xdr:col>
      <xdr:colOff>240574</xdr:colOff>
      <xdr:row>5</xdr:row>
      <xdr:rowOff>170002</xdr:rowOff>
    </xdr:to>
    <xdr:sp macro="" textlink="">
      <xdr:nvSpPr>
        <xdr:cNvPr id="4" name="Rectangle: Rounded Corners 3">
          <a:extLst>
            <a:ext uri="{FF2B5EF4-FFF2-40B4-BE49-F238E27FC236}">
              <a16:creationId xmlns:a16="http://schemas.microsoft.com/office/drawing/2014/main" id="{90F9B199-82E9-4B20-8D54-CA1A32D7DA4E}"/>
            </a:ext>
          </a:extLst>
        </xdr:cNvPr>
        <xdr:cNvSpPr/>
      </xdr:nvSpPr>
      <xdr:spPr>
        <a:xfrm>
          <a:off x="8805025" y="147143"/>
          <a:ext cx="1835239" cy="935113"/>
        </a:xfrm>
        <a:prstGeom prst="round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232954</xdr:colOff>
      <xdr:row>0</xdr:row>
      <xdr:rowOff>147143</xdr:rowOff>
    </xdr:from>
    <xdr:to>
      <xdr:col>21</xdr:col>
      <xdr:colOff>232954</xdr:colOff>
      <xdr:row>5</xdr:row>
      <xdr:rowOff>170002</xdr:rowOff>
    </xdr:to>
    <xdr:sp macro="" textlink="">
      <xdr:nvSpPr>
        <xdr:cNvPr id="5" name="Rectangle: Rounded Corners 4">
          <a:extLst>
            <a:ext uri="{FF2B5EF4-FFF2-40B4-BE49-F238E27FC236}">
              <a16:creationId xmlns:a16="http://schemas.microsoft.com/office/drawing/2014/main" id="{A90C2DB0-A543-4EB8-94A3-24E1D804ABF9}"/>
            </a:ext>
          </a:extLst>
        </xdr:cNvPr>
        <xdr:cNvSpPr/>
      </xdr:nvSpPr>
      <xdr:spPr>
        <a:xfrm>
          <a:off x="11244391" y="147143"/>
          <a:ext cx="1835239" cy="935113"/>
        </a:xfrm>
        <a:prstGeom prst="round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232954</xdr:colOff>
      <xdr:row>0</xdr:row>
      <xdr:rowOff>154763</xdr:rowOff>
    </xdr:from>
    <xdr:to>
      <xdr:col>25</xdr:col>
      <xdr:colOff>232954</xdr:colOff>
      <xdr:row>5</xdr:row>
      <xdr:rowOff>177622</xdr:rowOff>
    </xdr:to>
    <xdr:sp macro="" textlink="">
      <xdr:nvSpPr>
        <xdr:cNvPr id="6" name="Rectangle: Rounded Corners 5">
          <a:extLst>
            <a:ext uri="{FF2B5EF4-FFF2-40B4-BE49-F238E27FC236}">
              <a16:creationId xmlns:a16="http://schemas.microsoft.com/office/drawing/2014/main" id="{EBB69D96-DA3B-4453-BC99-ADD388AA0708}"/>
            </a:ext>
          </a:extLst>
        </xdr:cNvPr>
        <xdr:cNvSpPr/>
      </xdr:nvSpPr>
      <xdr:spPr>
        <a:xfrm>
          <a:off x="13691377" y="154763"/>
          <a:ext cx="1835239" cy="935113"/>
        </a:xfrm>
        <a:prstGeom prst="roundRect">
          <a:avLst/>
        </a:prstGeom>
        <a:ln>
          <a:solidFill>
            <a:schemeClr val="accent6">
              <a:lumMod val="50000"/>
            </a:scheme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206828</xdr:colOff>
      <xdr:row>0</xdr:row>
      <xdr:rowOff>139523</xdr:rowOff>
    </xdr:from>
    <xdr:to>
      <xdr:col>9</xdr:col>
      <xdr:colOff>217713</xdr:colOff>
      <xdr:row>2</xdr:row>
      <xdr:rowOff>139523</xdr:rowOff>
    </xdr:to>
    <xdr:sp macro="" textlink="">
      <xdr:nvSpPr>
        <xdr:cNvPr id="7" name="TextBox 6">
          <a:extLst>
            <a:ext uri="{FF2B5EF4-FFF2-40B4-BE49-F238E27FC236}">
              <a16:creationId xmlns:a16="http://schemas.microsoft.com/office/drawing/2014/main" id="{21A353A7-A1D1-8F5B-8899-7F4168E0CD47}"/>
            </a:ext>
          </a:extLst>
        </xdr:cNvPr>
        <xdr:cNvSpPr txBox="1"/>
      </xdr:nvSpPr>
      <xdr:spPr>
        <a:xfrm>
          <a:off x="3877307" y="139523"/>
          <a:ext cx="1846124"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accent6">
                  <a:lumMod val="50000"/>
                </a:schemeClr>
              </a:solidFill>
            </a:rPr>
            <a:t>Total Revenue</a:t>
          </a:r>
        </a:p>
      </xdr:txBody>
    </xdr:sp>
    <xdr:clientData/>
  </xdr:twoCellAnchor>
  <xdr:twoCellAnchor>
    <xdr:from>
      <xdr:col>6</xdr:col>
      <xdr:colOff>206829</xdr:colOff>
      <xdr:row>2</xdr:row>
      <xdr:rowOff>150409</xdr:rowOff>
    </xdr:from>
    <xdr:to>
      <xdr:col>9</xdr:col>
      <xdr:colOff>217714</xdr:colOff>
      <xdr:row>5</xdr:row>
      <xdr:rowOff>161293</xdr:rowOff>
    </xdr:to>
    <xdr:sp macro="" textlink="Cleaned_Data!L1">
      <xdr:nvSpPr>
        <xdr:cNvPr id="8" name="TextBox 7">
          <a:extLst>
            <a:ext uri="{FF2B5EF4-FFF2-40B4-BE49-F238E27FC236}">
              <a16:creationId xmlns:a16="http://schemas.microsoft.com/office/drawing/2014/main" id="{7EE1353B-D559-4C27-8CFE-44567F6626EE}"/>
            </a:ext>
          </a:extLst>
        </xdr:cNvPr>
        <xdr:cNvSpPr txBox="1"/>
      </xdr:nvSpPr>
      <xdr:spPr>
        <a:xfrm>
          <a:off x="3877308" y="515310"/>
          <a:ext cx="1846124" cy="55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1682D8-3D0F-46FB-B38E-B9F58AB59D76}" type="TxLink">
            <a:rPr lang="en-US" sz="2000" b="1" i="0" u="none" strike="noStrike">
              <a:solidFill>
                <a:schemeClr val="accent6">
                  <a:lumMod val="50000"/>
                </a:schemeClr>
              </a:solidFill>
              <a:latin typeface="Calibri"/>
              <a:ea typeface="Calibri"/>
              <a:cs typeface="Calibri"/>
            </a:rPr>
            <a:pPr algn="ctr"/>
            <a:t> $37,85,708.44 </a:t>
          </a:fld>
          <a:endParaRPr lang="en-IN" sz="2000" b="1">
            <a:solidFill>
              <a:schemeClr val="accent6">
                <a:lumMod val="50000"/>
              </a:schemeClr>
            </a:solidFill>
          </a:endParaRPr>
        </a:p>
      </xdr:txBody>
    </xdr:sp>
    <xdr:clientData/>
  </xdr:twoCellAnchor>
  <xdr:twoCellAnchor>
    <xdr:from>
      <xdr:col>10</xdr:col>
      <xdr:colOff>217713</xdr:colOff>
      <xdr:row>0</xdr:row>
      <xdr:rowOff>150405</xdr:rowOff>
    </xdr:from>
    <xdr:to>
      <xdr:col>13</xdr:col>
      <xdr:colOff>228598</xdr:colOff>
      <xdr:row>2</xdr:row>
      <xdr:rowOff>150405</xdr:rowOff>
    </xdr:to>
    <xdr:sp macro="" textlink="">
      <xdr:nvSpPr>
        <xdr:cNvPr id="9" name="TextBox 8">
          <a:extLst>
            <a:ext uri="{FF2B5EF4-FFF2-40B4-BE49-F238E27FC236}">
              <a16:creationId xmlns:a16="http://schemas.microsoft.com/office/drawing/2014/main" id="{3C3561F1-F62F-402B-B765-18D858419D26}"/>
            </a:ext>
          </a:extLst>
        </xdr:cNvPr>
        <xdr:cNvSpPr txBox="1"/>
      </xdr:nvSpPr>
      <xdr:spPr>
        <a:xfrm>
          <a:off x="6335178" y="150405"/>
          <a:ext cx="1846124"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accent6">
                  <a:lumMod val="50000"/>
                </a:schemeClr>
              </a:solidFill>
            </a:rPr>
            <a:t>Total Expense</a:t>
          </a:r>
        </a:p>
      </xdr:txBody>
    </xdr:sp>
    <xdr:clientData/>
  </xdr:twoCellAnchor>
  <xdr:twoCellAnchor>
    <xdr:from>
      <xdr:col>10</xdr:col>
      <xdr:colOff>239487</xdr:colOff>
      <xdr:row>2</xdr:row>
      <xdr:rowOff>161291</xdr:rowOff>
    </xdr:from>
    <xdr:to>
      <xdr:col>13</xdr:col>
      <xdr:colOff>250372</xdr:colOff>
      <xdr:row>5</xdr:row>
      <xdr:rowOff>172175</xdr:rowOff>
    </xdr:to>
    <xdr:sp macro="" textlink="Cleaned_Data!L2">
      <xdr:nvSpPr>
        <xdr:cNvPr id="10" name="TextBox 9">
          <a:extLst>
            <a:ext uri="{FF2B5EF4-FFF2-40B4-BE49-F238E27FC236}">
              <a16:creationId xmlns:a16="http://schemas.microsoft.com/office/drawing/2014/main" id="{17209550-FA1B-4AA6-AFAA-7E8D2C8CC79C}"/>
            </a:ext>
          </a:extLst>
        </xdr:cNvPr>
        <xdr:cNvSpPr txBox="1"/>
      </xdr:nvSpPr>
      <xdr:spPr>
        <a:xfrm>
          <a:off x="6356952" y="526192"/>
          <a:ext cx="1846124" cy="55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669BC0-557B-47AA-B5D8-2EC7B88B0C21}" type="TxLink">
            <a:rPr lang="en-US" sz="2000" b="1" i="0" u="none" strike="noStrike">
              <a:solidFill>
                <a:schemeClr val="accent6">
                  <a:lumMod val="50000"/>
                </a:schemeClr>
              </a:solidFill>
              <a:latin typeface="Calibri"/>
              <a:ea typeface="Calibri"/>
              <a:cs typeface="Calibri"/>
            </a:rPr>
            <a:pPr/>
            <a:t> $73,12,515.77 </a:t>
          </a:fld>
          <a:endParaRPr lang="en-IN" sz="2000" b="1">
            <a:solidFill>
              <a:schemeClr val="accent6">
                <a:lumMod val="50000"/>
              </a:schemeClr>
            </a:solidFill>
          </a:endParaRPr>
        </a:p>
      </xdr:txBody>
    </xdr:sp>
    <xdr:clientData/>
  </xdr:twoCellAnchor>
  <xdr:twoCellAnchor>
    <xdr:from>
      <xdr:col>14</xdr:col>
      <xdr:colOff>239489</xdr:colOff>
      <xdr:row>2</xdr:row>
      <xdr:rowOff>161288</xdr:rowOff>
    </xdr:from>
    <xdr:to>
      <xdr:col>17</xdr:col>
      <xdr:colOff>250374</xdr:colOff>
      <xdr:row>5</xdr:row>
      <xdr:rowOff>172172</xdr:rowOff>
    </xdr:to>
    <xdr:sp macro="" textlink="Cleaned_Data!L3">
      <xdr:nvSpPr>
        <xdr:cNvPr id="11" name="TextBox 10">
          <a:extLst>
            <a:ext uri="{FF2B5EF4-FFF2-40B4-BE49-F238E27FC236}">
              <a16:creationId xmlns:a16="http://schemas.microsoft.com/office/drawing/2014/main" id="{386BCE9D-09CB-4256-9CFF-23EE0700D244}"/>
            </a:ext>
          </a:extLst>
        </xdr:cNvPr>
        <xdr:cNvSpPr txBox="1"/>
      </xdr:nvSpPr>
      <xdr:spPr>
        <a:xfrm>
          <a:off x="8803940" y="526189"/>
          <a:ext cx="1846124" cy="55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28D26C-DE91-465B-A823-4EC454E9CEE5}" type="TxLink">
            <a:rPr lang="en-US" sz="2000" b="1" i="0" u="none" strike="noStrike">
              <a:solidFill>
                <a:schemeClr val="accent6">
                  <a:lumMod val="50000"/>
                </a:schemeClr>
              </a:solidFill>
              <a:latin typeface="Calibri"/>
              <a:ea typeface="Calibri"/>
              <a:cs typeface="Calibri"/>
            </a:rPr>
            <a:pPr/>
            <a:t> $-35,26,807.33 </a:t>
          </a:fld>
          <a:endParaRPr lang="en-IN" sz="2000" b="1">
            <a:solidFill>
              <a:schemeClr val="accent6">
                <a:lumMod val="50000"/>
              </a:schemeClr>
            </a:solidFill>
          </a:endParaRPr>
        </a:p>
      </xdr:txBody>
    </xdr:sp>
    <xdr:clientData/>
  </xdr:twoCellAnchor>
  <xdr:twoCellAnchor>
    <xdr:from>
      <xdr:col>14</xdr:col>
      <xdr:colOff>239482</xdr:colOff>
      <xdr:row>0</xdr:row>
      <xdr:rowOff>161287</xdr:rowOff>
    </xdr:from>
    <xdr:to>
      <xdr:col>17</xdr:col>
      <xdr:colOff>250367</xdr:colOff>
      <xdr:row>2</xdr:row>
      <xdr:rowOff>161287</xdr:rowOff>
    </xdr:to>
    <xdr:sp macro="" textlink="">
      <xdr:nvSpPr>
        <xdr:cNvPr id="12" name="TextBox 11">
          <a:extLst>
            <a:ext uri="{FF2B5EF4-FFF2-40B4-BE49-F238E27FC236}">
              <a16:creationId xmlns:a16="http://schemas.microsoft.com/office/drawing/2014/main" id="{5E97A99F-6772-4A25-B08C-7F099467DF6A}"/>
            </a:ext>
          </a:extLst>
        </xdr:cNvPr>
        <xdr:cNvSpPr txBox="1"/>
      </xdr:nvSpPr>
      <xdr:spPr>
        <a:xfrm>
          <a:off x="8803933" y="161287"/>
          <a:ext cx="1846124"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accent6">
                  <a:lumMod val="50000"/>
                </a:schemeClr>
              </a:solidFill>
            </a:rPr>
            <a:t>Profit/Loss</a:t>
          </a:r>
        </a:p>
      </xdr:txBody>
    </xdr:sp>
    <xdr:clientData/>
  </xdr:twoCellAnchor>
  <xdr:twoCellAnchor>
    <xdr:from>
      <xdr:col>18</xdr:col>
      <xdr:colOff>228601</xdr:colOff>
      <xdr:row>0</xdr:row>
      <xdr:rowOff>161283</xdr:rowOff>
    </xdr:from>
    <xdr:to>
      <xdr:col>21</xdr:col>
      <xdr:colOff>239486</xdr:colOff>
      <xdr:row>2</xdr:row>
      <xdr:rowOff>161283</xdr:rowOff>
    </xdr:to>
    <xdr:sp macro="" textlink="">
      <xdr:nvSpPr>
        <xdr:cNvPr id="13" name="TextBox 12">
          <a:extLst>
            <a:ext uri="{FF2B5EF4-FFF2-40B4-BE49-F238E27FC236}">
              <a16:creationId xmlns:a16="http://schemas.microsoft.com/office/drawing/2014/main" id="{49D708EC-8417-4889-A2FA-152F3E0E9598}"/>
            </a:ext>
          </a:extLst>
        </xdr:cNvPr>
        <xdr:cNvSpPr txBox="1"/>
      </xdr:nvSpPr>
      <xdr:spPr>
        <a:xfrm>
          <a:off x="11240038" y="161283"/>
          <a:ext cx="1846124"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accent6">
                  <a:lumMod val="50000"/>
                </a:schemeClr>
              </a:solidFill>
            </a:rPr>
            <a:t>Revenue Variance</a:t>
          </a:r>
        </a:p>
      </xdr:txBody>
    </xdr:sp>
    <xdr:clientData/>
  </xdr:twoCellAnchor>
  <xdr:twoCellAnchor>
    <xdr:from>
      <xdr:col>22</xdr:col>
      <xdr:colOff>239484</xdr:colOff>
      <xdr:row>0</xdr:row>
      <xdr:rowOff>150393</xdr:rowOff>
    </xdr:from>
    <xdr:to>
      <xdr:col>25</xdr:col>
      <xdr:colOff>250369</xdr:colOff>
      <xdr:row>2</xdr:row>
      <xdr:rowOff>150393</xdr:rowOff>
    </xdr:to>
    <xdr:sp macro="" textlink="">
      <xdr:nvSpPr>
        <xdr:cNvPr id="14" name="TextBox 13">
          <a:extLst>
            <a:ext uri="{FF2B5EF4-FFF2-40B4-BE49-F238E27FC236}">
              <a16:creationId xmlns:a16="http://schemas.microsoft.com/office/drawing/2014/main" id="{296D4ED3-56A9-4243-BE43-239FA5CEAF19}"/>
            </a:ext>
          </a:extLst>
        </xdr:cNvPr>
        <xdr:cNvSpPr txBox="1"/>
      </xdr:nvSpPr>
      <xdr:spPr>
        <a:xfrm>
          <a:off x="13697907" y="150393"/>
          <a:ext cx="1846124" cy="364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accent6">
                  <a:lumMod val="50000"/>
                </a:schemeClr>
              </a:solidFill>
            </a:rPr>
            <a:t>Expense Variance</a:t>
          </a:r>
        </a:p>
      </xdr:txBody>
    </xdr:sp>
    <xdr:clientData/>
  </xdr:twoCellAnchor>
  <xdr:twoCellAnchor>
    <xdr:from>
      <xdr:col>18</xdr:col>
      <xdr:colOff>228603</xdr:colOff>
      <xdr:row>2</xdr:row>
      <xdr:rowOff>172170</xdr:rowOff>
    </xdr:from>
    <xdr:to>
      <xdr:col>21</xdr:col>
      <xdr:colOff>239488</xdr:colOff>
      <xdr:row>6</xdr:row>
      <xdr:rowOff>604</xdr:rowOff>
    </xdr:to>
    <xdr:sp macro="" textlink="Cleaned_Data!L4">
      <xdr:nvSpPr>
        <xdr:cNvPr id="15" name="TextBox 14">
          <a:extLst>
            <a:ext uri="{FF2B5EF4-FFF2-40B4-BE49-F238E27FC236}">
              <a16:creationId xmlns:a16="http://schemas.microsoft.com/office/drawing/2014/main" id="{DC789DA4-004A-4D22-B815-CE1FCDF69624}"/>
            </a:ext>
          </a:extLst>
        </xdr:cNvPr>
        <xdr:cNvSpPr txBox="1"/>
      </xdr:nvSpPr>
      <xdr:spPr>
        <a:xfrm>
          <a:off x="11240040" y="537071"/>
          <a:ext cx="1846124" cy="55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C769C4-4C98-42ED-8207-26EA08128CDB}" type="TxLink">
            <a:rPr lang="en-US" sz="2000" b="1" i="0" u="none" strike="noStrike">
              <a:solidFill>
                <a:schemeClr val="accent6">
                  <a:lumMod val="50000"/>
                </a:schemeClr>
              </a:solidFill>
              <a:latin typeface="Calibri"/>
              <a:ea typeface="Calibri"/>
              <a:cs typeface="Calibri"/>
            </a:rPr>
            <a:pPr algn="ctr"/>
            <a:t> $5,27,708.44 </a:t>
          </a:fld>
          <a:endParaRPr lang="en-IN" sz="2000" b="1">
            <a:solidFill>
              <a:schemeClr val="accent6">
                <a:lumMod val="50000"/>
              </a:schemeClr>
            </a:solidFill>
          </a:endParaRPr>
        </a:p>
      </xdr:txBody>
    </xdr:sp>
    <xdr:clientData/>
  </xdr:twoCellAnchor>
  <xdr:twoCellAnchor>
    <xdr:from>
      <xdr:col>22</xdr:col>
      <xdr:colOff>228599</xdr:colOff>
      <xdr:row>2</xdr:row>
      <xdr:rowOff>161280</xdr:rowOff>
    </xdr:from>
    <xdr:to>
      <xdr:col>25</xdr:col>
      <xdr:colOff>239484</xdr:colOff>
      <xdr:row>5</xdr:row>
      <xdr:rowOff>172164</xdr:rowOff>
    </xdr:to>
    <xdr:sp macro="" textlink="Cleaned_Data!L5">
      <xdr:nvSpPr>
        <xdr:cNvPr id="16" name="TextBox 15">
          <a:extLst>
            <a:ext uri="{FF2B5EF4-FFF2-40B4-BE49-F238E27FC236}">
              <a16:creationId xmlns:a16="http://schemas.microsoft.com/office/drawing/2014/main" id="{5C67221E-786E-46D6-8405-43DF1299853C}"/>
            </a:ext>
          </a:extLst>
        </xdr:cNvPr>
        <xdr:cNvSpPr txBox="1"/>
      </xdr:nvSpPr>
      <xdr:spPr>
        <a:xfrm>
          <a:off x="13687022" y="526181"/>
          <a:ext cx="1846124" cy="55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D66C1F-2A9D-4168-8306-790B84064E5A}" type="TxLink">
            <a:rPr lang="en-US" sz="2000" b="1" i="0" u="none" strike="noStrike">
              <a:solidFill>
                <a:schemeClr val="accent6">
                  <a:lumMod val="50000"/>
                </a:schemeClr>
              </a:solidFill>
              <a:latin typeface="Calibri"/>
              <a:ea typeface="Calibri"/>
              <a:cs typeface="Calibri"/>
            </a:rPr>
            <a:pPr algn="ctr"/>
            <a:t> $1,80,915.77 </a:t>
          </a:fld>
          <a:endParaRPr lang="en-IN" sz="2000" b="1">
            <a:solidFill>
              <a:schemeClr val="accent6">
                <a:lumMod val="50000"/>
              </a:schemeClr>
            </a:solidFill>
          </a:endParaRPr>
        </a:p>
      </xdr:txBody>
    </xdr:sp>
    <xdr:clientData/>
  </xdr:twoCellAnchor>
  <xdr:twoCellAnchor>
    <xdr:from>
      <xdr:col>0</xdr:col>
      <xdr:colOff>150258</xdr:colOff>
      <xdr:row>6</xdr:row>
      <xdr:rowOff>107327</xdr:rowOff>
    </xdr:from>
    <xdr:to>
      <xdr:col>15</xdr:col>
      <xdr:colOff>272143</xdr:colOff>
      <xdr:row>22</xdr:row>
      <xdr:rowOff>53356</xdr:rowOff>
    </xdr:to>
    <xdr:graphicFrame macro="">
      <xdr:nvGraphicFramePr>
        <xdr:cNvPr id="19" name="Chart 18">
          <a:extLst>
            <a:ext uri="{FF2B5EF4-FFF2-40B4-BE49-F238E27FC236}">
              <a16:creationId xmlns:a16="http://schemas.microsoft.com/office/drawing/2014/main" id="{7BA68535-EDBC-418E-8313-BDD40A537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379765</xdr:colOff>
      <xdr:row>6</xdr:row>
      <xdr:rowOff>107019</xdr:rowOff>
    </xdr:from>
    <xdr:to>
      <xdr:col>25</xdr:col>
      <xdr:colOff>250363</xdr:colOff>
      <xdr:row>22</xdr:row>
      <xdr:rowOff>53356</xdr:rowOff>
    </xdr:to>
    <xdr:graphicFrame macro="">
      <xdr:nvGraphicFramePr>
        <xdr:cNvPr id="17" name="Chart 16">
          <a:extLst>
            <a:ext uri="{FF2B5EF4-FFF2-40B4-BE49-F238E27FC236}">
              <a16:creationId xmlns:a16="http://schemas.microsoft.com/office/drawing/2014/main" id="{1EF72ED9-FE29-43B1-B636-15998EF5F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379764</xdr:colOff>
      <xdr:row>22</xdr:row>
      <xdr:rowOff>173866</xdr:rowOff>
    </xdr:from>
    <xdr:to>
      <xdr:col>25</xdr:col>
      <xdr:colOff>250363</xdr:colOff>
      <xdr:row>38</xdr:row>
      <xdr:rowOff>119742</xdr:rowOff>
    </xdr:to>
    <xdr:graphicFrame macro="">
      <xdr:nvGraphicFramePr>
        <xdr:cNvPr id="18" name="Chart 17">
          <a:extLst>
            <a:ext uri="{FF2B5EF4-FFF2-40B4-BE49-F238E27FC236}">
              <a16:creationId xmlns:a16="http://schemas.microsoft.com/office/drawing/2014/main" id="{FEFB5295-2F1C-4AF1-945A-75A0D7D10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139521</xdr:colOff>
      <xdr:row>22</xdr:row>
      <xdr:rowOff>173858</xdr:rowOff>
    </xdr:from>
    <xdr:to>
      <xdr:col>15</xdr:col>
      <xdr:colOff>261411</xdr:colOff>
      <xdr:row>38</xdr:row>
      <xdr:rowOff>108855</xdr:rowOff>
    </xdr:to>
    <xdr:graphicFrame macro="">
      <xdr:nvGraphicFramePr>
        <xdr:cNvPr id="20" name="Chart 19">
          <a:extLst>
            <a:ext uri="{FF2B5EF4-FFF2-40B4-BE49-F238E27FC236}">
              <a16:creationId xmlns:a16="http://schemas.microsoft.com/office/drawing/2014/main" id="{5B22F321-D781-4670-A871-B207C3D1E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348018</xdr:colOff>
      <xdr:row>6</xdr:row>
      <xdr:rowOff>103582</xdr:rowOff>
    </xdr:from>
    <xdr:to>
      <xdr:col>28</xdr:col>
      <xdr:colOff>602835</xdr:colOff>
      <xdr:row>20</xdr:row>
      <xdr:rowOff>85552</xdr:rowOff>
    </xdr:to>
    <mc:AlternateContent xmlns:mc="http://schemas.openxmlformats.org/markup-compatibility/2006" xmlns:a14="http://schemas.microsoft.com/office/drawing/2010/main">
      <mc:Choice Requires="a14">
        <xdr:graphicFrame macro="">
          <xdr:nvGraphicFramePr>
            <xdr:cNvPr id="21" name="Department">
              <a:extLst>
                <a:ext uri="{FF2B5EF4-FFF2-40B4-BE49-F238E27FC236}">
                  <a16:creationId xmlns:a16="http://schemas.microsoft.com/office/drawing/2014/main" id="{AE41DBAC-458D-580B-BC27-3F0A9BBEDB7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588018" y="1213925"/>
              <a:ext cx="1822360" cy="2572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97240</xdr:colOff>
      <xdr:row>6</xdr:row>
      <xdr:rowOff>96773</xdr:rowOff>
    </xdr:from>
    <xdr:to>
      <xdr:col>32</xdr:col>
      <xdr:colOff>43543</xdr:colOff>
      <xdr:row>20</xdr:row>
      <xdr:rowOff>54428</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BDBADA75-9CBF-A629-80A5-B33489690C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514383" y="1207116"/>
              <a:ext cx="1883960" cy="2548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2173</xdr:colOff>
      <xdr:row>20</xdr:row>
      <xdr:rowOff>137159</xdr:rowOff>
    </xdr:from>
    <xdr:to>
      <xdr:col>32</xdr:col>
      <xdr:colOff>43543</xdr:colOff>
      <xdr:row>28</xdr:row>
      <xdr:rowOff>28302</xdr:rowOff>
    </xdr:to>
    <mc:AlternateContent xmlns:mc="http://schemas.openxmlformats.org/markup-compatibility/2006" xmlns:tsle="http://schemas.microsoft.com/office/drawing/2012/timeslicer">
      <mc:Choice Requires="tsle">
        <xdr:graphicFrame macro="">
          <xdr:nvGraphicFramePr>
            <xdr:cNvPr id="25" name="Month">
              <a:extLst>
                <a:ext uri="{FF2B5EF4-FFF2-40B4-BE49-F238E27FC236}">
                  <a16:creationId xmlns:a16="http://schemas.microsoft.com/office/drawing/2014/main" id="{F262BF81-26FE-F605-D3B2-75013B9407C9}"/>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15590516" y="3838302"/>
              <a:ext cx="380782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87239</xdr:colOff>
      <xdr:row>1</xdr:row>
      <xdr:rowOff>130626</xdr:rowOff>
    </xdr:from>
    <xdr:to>
      <xdr:col>4</xdr:col>
      <xdr:colOff>468239</xdr:colOff>
      <xdr:row>5</xdr:row>
      <xdr:rowOff>43540</xdr:rowOff>
    </xdr:to>
    <xdr:sp macro="" textlink="">
      <xdr:nvSpPr>
        <xdr:cNvPr id="26" name="TextBox 25">
          <a:extLst>
            <a:ext uri="{FF2B5EF4-FFF2-40B4-BE49-F238E27FC236}">
              <a16:creationId xmlns:a16="http://schemas.microsoft.com/office/drawing/2014/main" id="{B905B9F9-CD40-DB51-E1CC-94C364FCA65C}"/>
            </a:ext>
          </a:extLst>
        </xdr:cNvPr>
        <xdr:cNvSpPr txBox="1"/>
      </xdr:nvSpPr>
      <xdr:spPr>
        <a:xfrm>
          <a:off x="87239" y="313077"/>
          <a:ext cx="2827986" cy="642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500" b="1">
              <a:solidFill>
                <a:schemeClr val="bg1"/>
              </a:solidFill>
            </a:rPr>
            <a:t>CloudSync Solutions - Financial Variance Analysis 2025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tfire Asus A15" refreshedDate="46068.503359953706" createdVersion="8" refreshedVersion="8" minRefreshableVersion="3" recordCount="372" xr:uid="{CD80F832-7910-4330-9841-19DFE9BC5007}">
  <cacheSource type="worksheet">
    <worksheetSource name="Actual_v_Raw"/>
  </cacheSource>
  <cacheFields count="11">
    <cacheField name="Month" numFmtId="14">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fieldGroup par="10"/>
    </cacheField>
    <cacheField name="Category" numFmtId="0">
      <sharedItems count="5">
        <s v="Revenue"/>
        <s v="Cost of Revenue"/>
        <s v="Sales &amp; Marketing"/>
        <s v="Research &amp; Development"/>
        <s v="General &amp; Administrative"/>
      </sharedItems>
    </cacheField>
    <cacheField name="Account" numFmtId="0">
      <sharedItems count="31">
        <s v="Subscription Revenue - Starter"/>
        <s v="Subscription Revenue - Professional"/>
        <s v="Subscription Revenue - Enterprise"/>
        <s v="Professional Services Revenue"/>
        <s v="Setup &amp; Onboarding Fees"/>
        <s v="Cloud Hosting &amp; Infrastructure"/>
        <s v="Customer Support Salaries"/>
        <s v="Payment Processing Fees"/>
        <s v="Third-Party Software Licenses"/>
        <s v="Digital Marketing &amp; Advertising"/>
        <s v="Sales Team Salaries"/>
        <s v="Marketing Team Salaries"/>
        <s v="Sales Commissions"/>
        <s v="Marketing Tools &amp; Platforms"/>
        <s v="Events &amp; Conferences"/>
        <s v="Sales Development Tools"/>
        <s v="Engineering Team Salaries"/>
        <s v="Product Team Salaries"/>
        <s v="Development Tools &amp; Software"/>
        <s v="QA &amp; Testing"/>
        <s v="Cloud Development Environment"/>
        <s v="Executive Team Salaries"/>
        <s v="Finance Team Salaries"/>
        <s v="Operations Team Salaries"/>
        <s v="Office Rent &amp; Facilities"/>
        <s v="Legal &amp; Compliance"/>
        <s v="Accounting &amp; Audit Fees"/>
        <s v="HR &amp; Recruiting"/>
        <s v="Insurance"/>
        <s v="IT &amp; Office Equipment"/>
        <s v="Office Supplies &amp; Misc"/>
      </sharedItems>
    </cacheField>
    <cacheField name="Department" numFmtId="0">
      <sharedItems count="8">
        <s v="Sales"/>
        <s v="Customer Success"/>
        <s v="Operations"/>
        <s v="Finance"/>
        <s v="Marketing"/>
        <s v="Engineering"/>
        <s v="Product"/>
        <s v="Executive"/>
      </sharedItems>
    </cacheField>
    <cacheField name="Actual_Amount" numFmtId="164">
      <sharedItems containsSemiMixedTypes="0" containsString="0" containsNumber="1" minValue="2121" maxValue="163193.53" count="372">
        <n v="41977.23"/>
        <n v="74485.58"/>
        <n v="107916.32"/>
        <n v="22232.11"/>
        <n v="9135.06"/>
        <n v="32812.5"/>
        <n v="28439.24"/>
        <n v="7110.29"/>
        <n v="5414.11"/>
        <n v="42884.09"/>
        <n v="64268.46"/>
        <n v="35007.5"/>
        <n v="18522.32"/>
        <n v="8244.01"/>
        <n v="3179.86"/>
        <n v="4540.45"/>
        <n v="93937.67"/>
        <n v="40142.83"/>
        <n v="12742.63"/>
        <n v="6815.6"/>
        <n v="6897.57"/>
        <n v="55217.95"/>
        <n v="24840.25"/>
        <n v="29586.58"/>
        <n v="18329.189999999999"/>
        <n v="8714.68"/>
        <n v="7194.56"/>
        <n v="9722.36"/>
        <n v="4562.55"/>
        <n v="6248.94"/>
        <n v="2807.13"/>
        <n v="43198.11"/>
        <n v="80052.97"/>
        <n v="117935.66"/>
        <n v="24261.05"/>
        <n v="8414.7900000000009"/>
        <n v="36391.449999999997"/>
        <n v="28132.74"/>
        <n v="8229.2800000000007"/>
        <n v="5585.09"/>
        <n v="45920.57"/>
        <n v="63819.14"/>
        <n v="34619.06"/>
        <n v="20986.15"/>
        <n v="8142.82"/>
        <n v="2679.35"/>
        <n v="4140.8999999999996"/>
        <n v="94156.3"/>
        <n v="40217.1"/>
        <n v="11675.6"/>
        <n v="7688.43"/>
        <n v="6122.36"/>
        <n v="54743.68"/>
        <n v="25436.65"/>
        <n v="30177.64"/>
        <n v="18078.57"/>
        <n v="7970.12"/>
        <n v="7671.85"/>
        <n v="9979.1"/>
        <n v="4478.3"/>
        <n v="7174.86"/>
        <n v="2640"/>
        <n v="47066.52"/>
        <n v="90031.99"/>
        <n v="129078.79"/>
        <n v="28870.400000000001"/>
        <n v="6967.41"/>
        <n v="32908.480000000003"/>
        <n v="27793.31"/>
        <n v="8555.02"/>
        <n v="5182.08"/>
        <n v="63440.68"/>
        <n v="65978.559999999998"/>
        <n v="34740.550000000003"/>
        <n v="24912.33"/>
        <n v="8411.2900000000009"/>
        <n v="3497.46"/>
        <n v="4462.97"/>
        <n v="94106.54"/>
        <n v="39594.6"/>
        <n v="12147.28"/>
        <n v="7430.58"/>
        <n v="6609.96"/>
        <n v="55437.61"/>
        <n v="24899.4"/>
        <n v="29663.18"/>
        <n v="18358.23"/>
        <n v="9492.8700000000008"/>
        <n v="7193.18"/>
        <n v="9531.4"/>
        <n v="4429.74"/>
        <n v="6305.87"/>
        <n v="2792.08"/>
        <n v="47328.7"/>
        <n v="86167.38"/>
        <n v="125694.2"/>
        <n v="31758.89"/>
        <n v="8628.1299999999992"/>
        <n v="41081.74"/>
        <n v="28404.07"/>
        <n v="8263.33"/>
        <n v="5742.79"/>
        <n v="45817.7"/>
        <n v="65096.12"/>
        <n v="34673.56"/>
        <n v="24641.85"/>
        <n v="8169.82"/>
        <n v="12782.34"/>
        <n v="4458.3500000000004"/>
        <n v="96724.5"/>
        <n v="40601.360000000001"/>
        <n v="11432.13"/>
        <n v="8001.41"/>
        <n v="6082.25"/>
        <n v="55453.89"/>
        <n v="25370.52"/>
        <n v="29758.13"/>
        <n v="18100.04"/>
        <n v="9940.3700000000008"/>
        <n v="7239.63"/>
        <n v="12285.67"/>
        <n v="4507.09"/>
        <n v="6668.7"/>
        <n v="2530.35"/>
        <n v="46172.78"/>
        <n v="90185.75"/>
        <n v="123372.42"/>
        <n v="31634.27"/>
        <n v="10603.29"/>
        <n v="40146.699999999997"/>
        <n v="27784.42"/>
        <n v="8369.9599999999991"/>
        <n v="5915.81"/>
        <n v="47011.27"/>
        <n v="63922.7"/>
        <n v="34980.39"/>
        <n v="22076.13"/>
        <n v="8721.51"/>
        <n v="7558.77"/>
        <n v="4165.55"/>
        <n v="94906.07"/>
        <n v="40079.69"/>
        <n v="11436.14"/>
        <n v="8893.84"/>
        <n v="6400.08"/>
        <n v="54682.98"/>
        <n v="25039.3"/>
        <n v="30275.919999999998"/>
        <n v="17784.830000000002"/>
        <n v="8602.7199999999993"/>
        <n v="7871.36"/>
        <n v="11852.03"/>
        <n v="4488.8599999999997"/>
        <n v="6042.18"/>
        <n v="2121"/>
        <n v="48137.25"/>
        <n v="91986.1"/>
        <n v="133165.68"/>
        <n v="24531.26"/>
        <n v="7322.75"/>
        <n v="33605.339999999997"/>
        <n v="28146.84"/>
        <n v="8609.2800000000007"/>
        <n v="5945.96"/>
        <n v="62934.79"/>
        <n v="63884.23"/>
        <n v="34633.21"/>
        <n v="25236.44"/>
        <n v="8257.1"/>
        <n v="14947.02"/>
        <n v="4891.96"/>
        <n v="95269.96"/>
        <n v="39956.269999999997"/>
        <n v="12683.09"/>
        <n v="8737.99"/>
        <n v="6097.53"/>
        <n v="54556.62"/>
        <n v="24931.05"/>
        <n v="29908.29"/>
        <n v="17976.259999999998"/>
        <n v="10480.84"/>
        <n v="7630.02"/>
        <n v="13139.04"/>
        <n v="4427.72"/>
        <n v="5766.29"/>
        <n v="2339.3000000000002"/>
        <n v="52222.83"/>
        <n v="92807.21"/>
        <n v="130236.41"/>
        <n v="27424.47"/>
        <n v="8540.0400000000009"/>
        <n v="36213.699999999997"/>
        <n v="27719.78"/>
        <n v="9407.7199999999993"/>
        <n v="5437.44"/>
        <n v="46626.07"/>
        <n v="65130.85"/>
        <n v="34370.82"/>
        <n v="27384.75"/>
        <n v="8785.6200000000008"/>
        <n v="3562.8"/>
        <n v="4883.7299999999996"/>
        <n v="96325.04"/>
        <n v="39466.1"/>
        <n v="11965.54"/>
        <n v="7312.99"/>
        <n v="6371.35"/>
        <n v="54514.5"/>
        <n v="24878.97"/>
        <n v="30582.37"/>
        <n v="17830.95"/>
        <n v="10728.32"/>
        <n v="7466.26"/>
        <n v="10978.58"/>
        <n v="4582.32"/>
        <n v="7189.01"/>
        <n v="2555.77"/>
        <n v="52420.43"/>
        <n v="93554.98"/>
        <n v="134018.96"/>
        <n v="33843.29"/>
        <n v="9553.27"/>
        <n v="40186.449999999997"/>
        <n v="28277.73"/>
        <n v="8963.0300000000007"/>
        <n v="5592.6"/>
        <n v="45012.83"/>
        <n v="65917.070000000007"/>
        <n v="34520.410000000003"/>
        <n v="28255.46"/>
        <n v="8143.09"/>
        <n v="2622.99"/>
        <n v="4585.53"/>
        <n v="95665.81"/>
        <n v="39576.33"/>
        <n v="11087.73"/>
        <n v="8936.69"/>
        <n v="6170.08"/>
        <n v="55103.97"/>
        <n v="25119.38"/>
        <n v="29903.07"/>
        <n v="18060.240000000002"/>
        <n v="45000"/>
        <n v="7826.03"/>
        <n v="10136.4"/>
        <n v="4538.91"/>
        <n v="5372.85"/>
        <n v="2395.79"/>
        <n v="53096.22"/>
        <n v="96627.97"/>
        <n v="136641.19"/>
        <n v="31921.63"/>
        <n v="6899.92"/>
        <n v="39591.040000000001"/>
        <n v="28558.27"/>
        <n v="9898.26"/>
        <n v="5030.59"/>
        <n v="59007.41"/>
        <n v="64389.52"/>
        <n v="35606.559999999998"/>
        <n v="27996.59"/>
        <n v="8822.3799999999992"/>
        <n v="2843.43"/>
        <n v="4191.97"/>
        <n v="96268.23"/>
        <n v="40325.660000000003"/>
        <n v="12268.03"/>
        <n v="9169.36"/>
        <n v="6700.17"/>
        <n v="54458.61"/>
        <n v="25317.1"/>
        <n v="29759.25"/>
        <n v="18117.64"/>
        <n v="11425.19"/>
        <n v="7225.72"/>
        <n v="9794.4"/>
        <n v="4429.2700000000004"/>
        <n v="6127.74"/>
        <n v="2272.35"/>
        <n v="53656.65"/>
        <n v="102482.65"/>
        <n v="137402.94"/>
        <n v="31084.01"/>
        <n v="8103.2"/>
        <n v="32311.25"/>
        <n v="28453.98"/>
        <n v="9983.11"/>
        <n v="5051.53"/>
        <n v="44656.09"/>
        <n v="64419.37"/>
        <n v="34304.959999999999"/>
        <n v="28061.71"/>
        <n v="8616.5499999999993"/>
        <n v="10086.5"/>
        <n v="4717.1099999999997"/>
        <n v="95196.39"/>
        <n v="39884.300000000003"/>
        <n v="10823.21"/>
        <n v="6980.59"/>
        <n v="6998.04"/>
        <n v="55444.32"/>
        <n v="25045.59"/>
        <n v="30401.51"/>
        <n v="18059.41"/>
        <n v="7866.42"/>
        <n v="7220.58"/>
        <n v="10536.79"/>
        <n v="4571.82"/>
        <n v="6710.69"/>
        <n v="2860.7"/>
        <n v="64577.32"/>
        <n v="113899.2"/>
        <n v="161452.21"/>
        <n v="25233.52"/>
        <n v="11213.47"/>
        <n v="50631.58"/>
        <n v="27895.14"/>
        <n v="11046.6"/>
        <n v="5120.01"/>
        <n v="46934.46"/>
        <n v="65947.97"/>
        <n v="35666.69"/>
        <n v="31981.53"/>
        <n v="8824.2000000000007"/>
        <n v="2429.7399999999998"/>
        <n v="4712.91"/>
        <n v="94362.3"/>
        <n v="40689.31"/>
        <n v="12725.36"/>
        <n v="8873.75"/>
        <n v="6903.97"/>
        <n v="54743.49"/>
        <n v="25287.37"/>
        <n v="29529.71"/>
        <n v="18267.96"/>
        <n v="11063.67"/>
        <n v="7291.83"/>
        <n v="12493.86"/>
        <n v="4492.8500000000004"/>
        <n v="5532.46"/>
        <n v="2795.35"/>
        <n v="61415.17"/>
        <n v="113574.46"/>
        <n v="163193.53"/>
        <n v="28404.799999999999"/>
        <n v="11893.65"/>
        <n v="51854.51"/>
        <n v="27752.62"/>
        <n v="11131.26"/>
        <n v="5389.65"/>
        <n v="47165.17"/>
        <n v="65094.16"/>
        <n v="35614.93"/>
        <n v="27949.15"/>
        <n v="8899.84"/>
        <n v="2614.2800000000002"/>
        <n v="4916.28"/>
        <n v="94108.77"/>
        <n v="39373.440000000002"/>
        <n v="11842.95"/>
        <n v="8548.51"/>
        <n v="6257.78"/>
        <n v="55116.83"/>
        <n v="25011.42"/>
        <n v="29862.23"/>
        <n v="18055.14"/>
        <n v="8346.25"/>
        <n v="7656.59"/>
        <n v="9356.51"/>
        <n v="4576.6000000000004"/>
        <n v="6092.28"/>
        <n v="2719.43"/>
      </sharedItems>
    </cacheField>
    <cacheField name="Budget_Amount" numFmtId="164">
      <sharedItems containsSemiMixedTypes="0" containsString="0" containsNumber="1" containsInteger="1" minValue="2500" maxValue="115000"/>
    </cacheField>
    <cacheField name="Variance_Dollar" numFmtId="164">
      <sharedItems containsSemiMixedTypes="0" containsString="0" containsNumber="1" minValue="-10891.229999999996" maxValue="48193.53"/>
    </cacheField>
    <cacheField name="Variance_Percent" numFmtId="9">
      <sharedItems containsSemiMixedTypes="0" containsString="0" containsNumber="1" minValue="-0.75702599999999998" maxValue="4.2941176470588198"/>
    </cacheField>
    <cacheField name="Variance_Type" numFmtId="0">
      <sharedItems/>
    </cacheField>
    <cacheField name="Days (Month)" numFmtId="0" databaseField="0">
      <fieldGroup base="0">
        <rangePr groupBy="days" startDate="2025-01-01T00:00:00" endDate="2025-12-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5"/>
        </groupItems>
      </fieldGroup>
    </cacheField>
    <cacheField name="Months (Month)" numFmtId="0" databaseField="0">
      <fieldGroup base="0">
        <rangePr groupBy="months" startDate="2025-01-01T00:00:00" endDate="2025-12-02T00:00:00"/>
        <groupItems count="14">
          <s v="&lt;01-01-2025"/>
          <s v="Jan"/>
          <s v="Feb"/>
          <s v="Mar"/>
          <s v="Apr"/>
          <s v="May"/>
          <s v="Jun"/>
          <s v="Jul"/>
          <s v="Aug"/>
          <s v="Sep"/>
          <s v="Oct"/>
          <s v="Nov"/>
          <s v="Dec"/>
          <s v="&gt;02-12-2025"/>
        </groupItems>
      </fieldGroup>
    </cacheField>
  </cacheFields>
  <extLst>
    <ext xmlns:x14="http://schemas.microsoft.com/office/spreadsheetml/2009/9/main" uri="{725AE2AE-9491-48be-B2B4-4EB974FC3084}">
      <x14:pivotCacheDefinition pivotCacheId="1869490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x v="0"/>
    <x v="0"/>
    <n v="43000"/>
    <n v="-1022.7699999999968"/>
    <n v="-2.3785348837209199E-2"/>
    <s v="Unfavorable"/>
  </r>
  <r>
    <x v="0"/>
    <x v="0"/>
    <x v="1"/>
    <x v="0"/>
    <x v="1"/>
    <n v="82000"/>
    <n v="-7514.4199999999983"/>
    <n v="-9.1639268292682902E-2"/>
    <s v="Unfavorable"/>
  </r>
  <r>
    <x v="0"/>
    <x v="0"/>
    <x v="2"/>
    <x v="0"/>
    <x v="2"/>
    <n v="115000"/>
    <n v="-7083.679999999993"/>
    <n v="-6.1597217391304297E-2"/>
    <s v="Unfavorable"/>
  </r>
  <r>
    <x v="0"/>
    <x v="0"/>
    <x v="3"/>
    <x v="1"/>
    <x v="3"/>
    <n v="24000"/>
    <n v="-1767.8899999999994"/>
    <n v="-7.3662083333333295E-2"/>
    <s v="Unfavorable"/>
  </r>
  <r>
    <x v="0"/>
    <x v="0"/>
    <x v="4"/>
    <x v="1"/>
    <x v="4"/>
    <n v="7500"/>
    <n v="1635.0599999999995"/>
    <n v="0.21800800000000001"/>
    <s v="Favorable"/>
  </r>
  <r>
    <x v="0"/>
    <x v="1"/>
    <x v="5"/>
    <x v="2"/>
    <x v="5"/>
    <n v="30000"/>
    <n v="2812.5"/>
    <n v="9.375E-2"/>
    <s v="Unfavorable"/>
  </r>
  <r>
    <x v="0"/>
    <x v="1"/>
    <x v="6"/>
    <x v="1"/>
    <x v="6"/>
    <n v="28000"/>
    <n v="439.2400000000016"/>
    <n v="1.5687142857142899E-2"/>
    <s v="Unfavorable"/>
  </r>
  <r>
    <x v="0"/>
    <x v="1"/>
    <x v="7"/>
    <x v="3"/>
    <x v="7"/>
    <n v="7800"/>
    <n v="-689.71"/>
    <n v="-8.8424358974359005E-2"/>
    <s v="Favorable"/>
  </r>
  <r>
    <x v="0"/>
    <x v="1"/>
    <x v="8"/>
    <x v="2"/>
    <x v="8"/>
    <n v="5500"/>
    <n v="-85.890000000000327"/>
    <n v="-1.5616363636363701E-2"/>
    <s v="Favorable"/>
  </r>
  <r>
    <x v="0"/>
    <x v="2"/>
    <x v="9"/>
    <x v="4"/>
    <x v="9"/>
    <n v="40000"/>
    <n v="2884.0899999999965"/>
    <n v="7.2102249999999896E-2"/>
    <s v="Unfavorable"/>
  </r>
  <r>
    <x v="0"/>
    <x v="2"/>
    <x v="10"/>
    <x v="0"/>
    <x v="10"/>
    <n v="65000"/>
    <n v="-731.54000000000087"/>
    <n v="-1.12544615384616E-2"/>
    <s v="Favorable"/>
  </r>
  <r>
    <x v="0"/>
    <x v="2"/>
    <x v="11"/>
    <x v="4"/>
    <x v="11"/>
    <n v="35000"/>
    <n v="7.5"/>
    <n v="2.14285714285714E-4"/>
    <s v="Unfavorable"/>
  </r>
  <r>
    <x v="0"/>
    <x v="2"/>
    <x v="12"/>
    <x v="0"/>
    <x v="12"/>
    <n v="21000"/>
    <n v="-2477.6800000000003"/>
    <n v="-0.11798476190476199"/>
    <s v="Favorable"/>
  </r>
  <r>
    <x v="0"/>
    <x v="2"/>
    <x v="13"/>
    <x v="4"/>
    <x v="13"/>
    <n v="8500"/>
    <n v="-255.98999999999978"/>
    <n v="-3.01164705882353E-2"/>
    <s v="Favorable"/>
  </r>
  <r>
    <x v="0"/>
    <x v="2"/>
    <x v="14"/>
    <x v="4"/>
    <x v="14"/>
    <n v="10000"/>
    <n v="-6820.1399999999994"/>
    <n v="-0.68201400000000001"/>
    <s v="Favorable"/>
  </r>
  <r>
    <x v="0"/>
    <x v="2"/>
    <x v="15"/>
    <x v="0"/>
    <x v="15"/>
    <n v="4500"/>
    <n v="40.449999999999818"/>
    <n v="8.9888888888888501E-3"/>
    <s v="Unfavorable"/>
  </r>
  <r>
    <x v="0"/>
    <x v="3"/>
    <x v="16"/>
    <x v="5"/>
    <x v="16"/>
    <n v="95000"/>
    <n v="-1062.3300000000017"/>
    <n v="-1.11824210526316E-2"/>
    <s v="Favorable"/>
  </r>
  <r>
    <x v="0"/>
    <x v="3"/>
    <x v="17"/>
    <x v="6"/>
    <x v="17"/>
    <n v="40000"/>
    <n v="142.83000000000175"/>
    <n v="3.57075000000004E-3"/>
    <s v="Unfavorable"/>
  </r>
  <r>
    <x v="0"/>
    <x v="3"/>
    <x v="18"/>
    <x v="5"/>
    <x v="18"/>
    <n v="12000"/>
    <n v="742.6299999999992"/>
    <n v="6.18858333333333E-2"/>
    <s v="Unfavorable"/>
  </r>
  <r>
    <x v="0"/>
    <x v="3"/>
    <x v="19"/>
    <x v="5"/>
    <x v="19"/>
    <n v="8500"/>
    <n v="-1684.3999999999996"/>
    <n v="-0.19816470588235299"/>
    <s v="Favorable"/>
  </r>
  <r>
    <x v="0"/>
    <x v="3"/>
    <x v="20"/>
    <x v="5"/>
    <x v="20"/>
    <n v="6500"/>
    <n v="397.56999999999971"/>
    <n v="6.1164615384615303E-2"/>
    <s v="Unfavorable"/>
  </r>
  <r>
    <x v="0"/>
    <x v="4"/>
    <x v="21"/>
    <x v="7"/>
    <x v="21"/>
    <n v="55000"/>
    <n v="217.94999999999709"/>
    <n v="3.9627272727272202E-3"/>
    <s v="Unfavorable"/>
  </r>
  <r>
    <x v="0"/>
    <x v="4"/>
    <x v="22"/>
    <x v="3"/>
    <x v="22"/>
    <n v="25000"/>
    <n v="-159.75"/>
    <n v="-6.3899999999999998E-3"/>
    <s v="Favorable"/>
  </r>
  <r>
    <x v="0"/>
    <x v="4"/>
    <x v="23"/>
    <x v="2"/>
    <x v="23"/>
    <n v="30000"/>
    <n v="-413.41999999999825"/>
    <n v="-1.3780666666666601E-2"/>
    <s v="Favorable"/>
  </r>
  <r>
    <x v="0"/>
    <x v="4"/>
    <x v="24"/>
    <x v="2"/>
    <x v="24"/>
    <n v="18000"/>
    <n v="329.18999999999869"/>
    <n v="1.8288333333333299E-2"/>
    <s v="Unfavorable"/>
  </r>
  <r>
    <x v="0"/>
    <x v="4"/>
    <x v="25"/>
    <x v="3"/>
    <x v="25"/>
    <n v="8500"/>
    <n v="214.68000000000029"/>
    <n v="2.52564705882353E-2"/>
    <s v="Unfavorable"/>
  </r>
  <r>
    <x v="0"/>
    <x v="4"/>
    <x v="26"/>
    <x v="3"/>
    <x v="26"/>
    <n v="7500"/>
    <n v="-305.4399999999996"/>
    <n v="-4.0725333333333301E-2"/>
    <s v="Favorable"/>
  </r>
  <r>
    <x v="0"/>
    <x v="4"/>
    <x v="27"/>
    <x v="2"/>
    <x v="27"/>
    <n v="10000"/>
    <n v="-277.63999999999942"/>
    <n v="-2.77639999999999E-2"/>
    <s v="Favorable"/>
  </r>
  <r>
    <x v="0"/>
    <x v="4"/>
    <x v="28"/>
    <x v="3"/>
    <x v="28"/>
    <n v="4500"/>
    <n v="62.550000000000182"/>
    <n v="1.3899999999999999E-2"/>
    <s v="Unfavorable"/>
  </r>
  <r>
    <x v="0"/>
    <x v="4"/>
    <x v="29"/>
    <x v="2"/>
    <x v="29"/>
    <n v="6000"/>
    <n v="248.9399999999996"/>
    <n v="4.1489999999999902E-2"/>
    <s v="Unfavorable"/>
  </r>
  <r>
    <x v="0"/>
    <x v="4"/>
    <x v="30"/>
    <x v="2"/>
    <x v="30"/>
    <n v="2500"/>
    <n v="307.13000000000011"/>
    <n v="0.122852"/>
    <s v="Unfavorable"/>
  </r>
  <r>
    <x v="1"/>
    <x v="0"/>
    <x v="0"/>
    <x v="0"/>
    <x v="31"/>
    <n v="43000"/>
    <n v="198.11000000000058"/>
    <n v="4.6072093023255996E-3"/>
    <s v="Favorable"/>
  </r>
  <r>
    <x v="1"/>
    <x v="0"/>
    <x v="1"/>
    <x v="0"/>
    <x v="32"/>
    <n v="82000"/>
    <n v="-1947.0299999999988"/>
    <n v="-2.3744268292682901E-2"/>
    <s v="Unfavorable"/>
  </r>
  <r>
    <x v="1"/>
    <x v="0"/>
    <x v="2"/>
    <x v="0"/>
    <x v="33"/>
    <n v="115000"/>
    <n v="2935.6600000000035"/>
    <n v="2.55274782608696E-2"/>
    <s v="Favorable"/>
  </r>
  <r>
    <x v="1"/>
    <x v="0"/>
    <x v="3"/>
    <x v="1"/>
    <x v="34"/>
    <n v="24000"/>
    <n v="261.04999999999927"/>
    <n v="1.0877083333333299E-2"/>
    <s v="Favorable"/>
  </r>
  <r>
    <x v="1"/>
    <x v="0"/>
    <x v="4"/>
    <x v="1"/>
    <x v="35"/>
    <n v="7500"/>
    <n v="914.79000000000087"/>
    <n v="0.121972"/>
    <s v="Favorable"/>
  </r>
  <r>
    <x v="1"/>
    <x v="1"/>
    <x v="5"/>
    <x v="2"/>
    <x v="36"/>
    <n v="30000"/>
    <n v="6391.4499999999971"/>
    <n v="0.21304833333333301"/>
    <s v="Unfavorable"/>
  </r>
  <r>
    <x v="1"/>
    <x v="1"/>
    <x v="6"/>
    <x v="1"/>
    <x v="37"/>
    <n v="28000"/>
    <n v="132.7400000000016"/>
    <n v="4.7407142857143402E-3"/>
    <s v="Unfavorable"/>
  </r>
  <r>
    <x v="1"/>
    <x v="1"/>
    <x v="7"/>
    <x v="3"/>
    <x v="38"/>
    <n v="7800"/>
    <n v="429.28000000000065"/>
    <n v="5.5035897435897499E-2"/>
    <s v="Unfavorable"/>
  </r>
  <r>
    <x v="1"/>
    <x v="1"/>
    <x v="8"/>
    <x v="2"/>
    <x v="39"/>
    <n v="5500"/>
    <n v="85.090000000000146"/>
    <n v="1.5470909090909099E-2"/>
    <s v="Unfavorable"/>
  </r>
  <r>
    <x v="1"/>
    <x v="2"/>
    <x v="9"/>
    <x v="4"/>
    <x v="40"/>
    <n v="40000"/>
    <n v="5920.57"/>
    <n v="0.14801425000000001"/>
    <s v="Unfavorable"/>
  </r>
  <r>
    <x v="1"/>
    <x v="2"/>
    <x v="10"/>
    <x v="0"/>
    <x v="41"/>
    <n v="65000"/>
    <n v="-1180.8600000000006"/>
    <n v="-1.81670769230769E-2"/>
    <s v="Favorable"/>
  </r>
  <r>
    <x v="1"/>
    <x v="2"/>
    <x v="11"/>
    <x v="4"/>
    <x v="42"/>
    <n v="35000"/>
    <n v="-380.94000000000233"/>
    <n v="-1.08840000000001E-2"/>
    <s v="Favorable"/>
  </r>
  <r>
    <x v="1"/>
    <x v="2"/>
    <x v="12"/>
    <x v="0"/>
    <x v="43"/>
    <n v="21000"/>
    <n v="-13.849999999998545"/>
    <n v="-6.5952380952374E-4"/>
    <s v="Favorable"/>
  </r>
  <r>
    <x v="1"/>
    <x v="2"/>
    <x v="13"/>
    <x v="4"/>
    <x v="44"/>
    <n v="8500"/>
    <n v="-357.18000000000029"/>
    <n v="-4.2021176470588298E-2"/>
    <s v="Favorable"/>
  </r>
  <r>
    <x v="1"/>
    <x v="2"/>
    <x v="14"/>
    <x v="4"/>
    <x v="45"/>
    <n v="10000"/>
    <n v="-7320.65"/>
    <n v="-0.73206499999999997"/>
    <s v="Favorable"/>
  </r>
  <r>
    <x v="1"/>
    <x v="2"/>
    <x v="15"/>
    <x v="0"/>
    <x v="46"/>
    <n v="4500"/>
    <n v="-359.10000000000036"/>
    <n v="-7.9800000000000093E-2"/>
    <s v="Favorable"/>
  </r>
  <r>
    <x v="1"/>
    <x v="3"/>
    <x v="16"/>
    <x v="5"/>
    <x v="47"/>
    <n v="95000"/>
    <n v="-843.69999999999709"/>
    <n v="-8.8810526315789198E-3"/>
    <s v="Favorable"/>
  </r>
  <r>
    <x v="1"/>
    <x v="3"/>
    <x v="17"/>
    <x v="6"/>
    <x v="48"/>
    <n v="40000"/>
    <n v="217.09999999999854"/>
    <n v="5.4274999999999601E-3"/>
    <s v="Unfavorable"/>
  </r>
  <r>
    <x v="1"/>
    <x v="3"/>
    <x v="18"/>
    <x v="5"/>
    <x v="49"/>
    <n v="12000"/>
    <n v="-324.39999999999964"/>
    <n v="-2.7033333333333302E-2"/>
    <s v="Favorable"/>
  </r>
  <r>
    <x v="1"/>
    <x v="3"/>
    <x v="19"/>
    <x v="5"/>
    <x v="50"/>
    <n v="8500"/>
    <n v="-811.56999999999971"/>
    <n v="-9.5478823529411699E-2"/>
    <s v="Favorable"/>
  </r>
  <r>
    <x v="1"/>
    <x v="3"/>
    <x v="20"/>
    <x v="5"/>
    <x v="51"/>
    <n v="6500"/>
    <n v="-377.64000000000033"/>
    <n v="-5.8098461538461599E-2"/>
    <s v="Favorable"/>
  </r>
  <r>
    <x v="1"/>
    <x v="4"/>
    <x v="21"/>
    <x v="7"/>
    <x v="52"/>
    <n v="55000"/>
    <n v="-256.31999999999971"/>
    <n v="-4.66036363636363E-3"/>
    <s v="Favorable"/>
  </r>
  <r>
    <x v="1"/>
    <x v="4"/>
    <x v="22"/>
    <x v="3"/>
    <x v="53"/>
    <n v="25000"/>
    <n v="436.65000000000146"/>
    <n v="1.74660000000001E-2"/>
    <s v="Unfavorable"/>
  </r>
  <r>
    <x v="1"/>
    <x v="4"/>
    <x v="23"/>
    <x v="2"/>
    <x v="54"/>
    <n v="30000"/>
    <n v="177.63999999999942"/>
    <n v="5.9213333333333097E-3"/>
    <s v="Unfavorable"/>
  </r>
  <r>
    <x v="1"/>
    <x v="4"/>
    <x v="24"/>
    <x v="2"/>
    <x v="55"/>
    <n v="18000"/>
    <n v="78.569999999999709"/>
    <n v="4.36499999999998E-3"/>
    <s v="Unfavorable"/>
  </r>
  <r>
    <x v="1"/>
    <x v="4"/>
    <x v="25"/>
    <x v="3"/>
    <x v="56"/>
    <n v="8500"/>
    <n v="-529.88000000000011"/>
    <n v="-6.2338823529411801E-2"/>
    <s v="Favorable"/>
  </r>
  <r>
    <x v="1"/>
    <x v="4"/>
    <x v="26"/>
    <x v="3"/>
    <x v="57"/>
    <n v="7500"/>
    <n v="171.85000000000036"/>
    <n v="2.29133333333334E-2"/>
    <s v="Unfavorable"/>
  </r>
  <r>
    <x v="1"/>
    <x v="4"/>
    <x v="27"/>
    <x v="2"/>
    <x v="58"/>
    <n v="10000"/>
    <n v="-20.899999999999636"/>
    <n v="-2.0899999999999599E-3"/>
    <s v="Favorable"/>
  </r>
  <r>
    <x v="1"/>
    <x v="4"/>
    <x v="28"/>
    <x v="3"/>
    <x v="59"/>
    <n v="4500"/>
    <n v="-21.699999999999818"/>
    <n v="-4.82222222222218E-3"/>
    <s v="Favorable"/>
  </r>
  <r>
    <x v="1"/>
    <x v="4"/>
    <x v="29"/>
    <x v="2"/>
    <x v="60"/>
    <n v="6000"/>
    <n v="1174.8599999999997"/>
    <n v="0.19581000000000001"/>
    <s v="Unfavorable"/>
  </r>
  <r>
    <x v="1"/>
    <x v="4"/>
    <x v="30"/>
    <x v="2"/>
    <x v="61"/>
    <n v="2500"/>
    <n v="140"/>
    <n v="5.6000000000000001E-2"/>
    <s v="Unfavorable"/>
  </r>
  <r>
    <x v="2"/>
    <x v="0"/>
    <x v="0"/>
    <x v="0"/>
    <x v="62"/>
    <n v="43000"/>
    <n v="4066.5199999999968"/>
    <n v="9.45702325581394E-2"/>
    <s v="Favorable"/>
  </r>
  <r>
    <x v="2"/>
    <x v="0"/>
    <x v="1"/>
    <x v="0"/>
    <x v="63"/>
    <n v="82000"/>
    <n v="8031.9900000000052"/>
    <n v="9.7951097560975697E-2"/>
    <s v="Favorable"/>
  </r>
  <r>
    <x v="2"/>
    <x v="0"/>
    <x v="2"/>
    <x v="0"/>
    <x v="64"/>
    <n v="115000"/>
    <n v="14078.789999999994"/>
    <n v="0.122424260869565"/>
    <s v="Favorable"/>
  </r>
  <r>
    <x v="2"/>
    <x v="0"/>
    <x v="3"/>
    <x v="1"/>
    <x v="65"/>
    <n v="24000"/>
    <n v="4870.4000000000015"/>
    <n v="0.20293333333333299"/>
    <s v="Favorable"/>
  </r>
  <r>
    <x v="2"/>
    <x v="0"/>
    <x v="4"/>
    <x v="1"/>
    <x v="66"/>
    <n v="7500"/>
    <n v="-532.59000000000015"/>
    <n v="-7.1012000000000006E-2"/>
    <s v="Unfavorable"/>
  </r>
  <r>
    <x v="2"/>
    <x v="1"/>
    <x v="5"/>
    <x v="2"/>
    <x v="67"/>
    <n v="30000"/>
    <n v="2908.4800000000032"/>
    <n v="9.6949333333333401E-2"/>
    <s v="Unfavorable"/>
  </r>
  <r>
    <x v="2"/>
    <x v="1"/>
    <x v="6"/>
    <x v="1"/>
    <x v="68"/>
    <n v="28000"/>
    <n v="-206.68999999999869"/>
    <n v="-7.3817857142856698E-3"/>
    <s v="Favorable"/>
  </r>
  <r>
    <x v="2"/>
    <x v="1"/>
    <x v="7"/>
    <x v="3"/>
    <x v="69"/>
    <n v="7800"/>
    <n v="755.02000000000044"/>
    <n v="9.6797435897436002E-2"/>
    <s v="Unfavorable"/>
  </r>
  <r>
    <x v="2"/>
    <x v="1"/>
    <x v="8"/>
    <x v="2"/>
    <x v="70"/>
    <n v="5500"/>
    <n v="-317.92000000000007"/>
    <n v="-5.7803636363636397E-2"/>
    <s v="Favorable"/>
  </r>
  <r>
    <x v="2"/>
    <x v="2"/>
    <x v="9"/>
    <x v="4"/>
    <x v="71"/>
    <n v="40000"/>
    <n v="23440.68"/>
    <n v="0.58601700000000001"/>
    <s v="Unfavorable"/>
  </r>
  <r>
    <x v="2"/>
    <x v="2"/>
    <x v="10"/>
    <x v="0"/>
    <x v="72"/>
    <n v="65000"/>
    <n v="978.55999999999767"/>
    <n v="1.50547692307692E-2"/>
    <s v="Unfavorable"/>
  </r>
  <r>
    <x v="2"/>
    <x v="2"/>
    <x v="11"/>
    <x v="4"/>
    <x v="73"/>
    <n v="35000"/>
    <n v="-259.44999999999709"/>
    <n v="-7.4128571428570596E-3"/>
    <s v="Favorable"/>
  </r>
  <r>
    <x v="2"/>
    <x v="2"/>
    <x v="12"/>
    <x v="0"/>
    <x v="74"/>
    <n v="21000"/>
    <n v="3912.3300000000017"/>
    <n v="0.18630142857142901"/>
    <s v="Unfavorable"/>
  </r>
  <r>
    <x v="2"/>
    <x v="2"/>
    <x v="13"/>
    <x v="4"/>
    <x v="75"/>
    <n v="8500"/>
    <n v="-88.709999999999127"/>
    <n v="-1.04364705882352E-2"/>
    <s v="Favorable"/>
  </r>
  <r>
    <x v="2"/>
    <x v="2"/>
    <x v="14"/>
    <x v="4"/>
    <x v="76"/>
    <n v="10000"/>
    <n v="-6502.54"/>
    <n v="-0.650254"/>
    <s v="Favorable"/>
  </r>
  <r>
    <x v="2"/>
    <x v="2"/>
    <x v="15"/>
    <x v="0"/>
    <x v="77"/>
    <n v="4500"/>
    <n v="-37.029999999999745"/>
    <n v="-8.2288888888888308E-3"/>
    <s v="Favorable"/>
  </r>
  <r>
    <x v="2"/>
    <x v="3"/>
    <x v="16"/>
    <x v="5"/>
    <x v="78"/>
    <n v="95000"/>
    <n v="-893.4600000000064"/>
    <n v="-9.4048421052632201E-3"/>
    <s v="Favorable"/>
  </r>
  <r>
    <x v="2"/>
    <x v="3"/>
    <x v="17"/>
    <x v="6"/>
    <x v="79"/>
    <n v="40000"/>
    <n v="-405.40000000000146"/>
    <n v="-1.0135E-2"/>
    <s v="Favorable"/>
  </r>
  <r>
    <x v="2"/>
    <x v="3"/>
    <x v="18"/>
    <x v="5"/>
    <x v="80"/>
    <n v="12000"/>
    <n v="147.28000000000065"/>
    <n v="1.22733333333334E-2"/>
    <s v="Unfavorable"/>
  </r>
  <r>
    <x v="2"/>
    <x v="3"/>
    <x v="19"/>
    <x v="5"/>
    <x v="81"/>
    <n v="8500"/>
    <n v="-1069.42"/>
    <n v="-0.12581411764705899"/>
    <s v="Favorable"/>
  </r>
  <r>
    <x v="2"/>
    <x v="3"/>
    <x v="20"/>
    <x v="5"/>
    <x v="82"/>
    <n v="6500"/>
    <n v="109.96000000000004"/>
    <n v="1.69169230769231E-2"/>
    <s v="Unfavorable"/>
  </r>
  <r>
    <x v="2"/>
    <x v="4"/>
    <x v="21"/>
    <x v="7"/>
    <x v="83"/>
    <n v="55000"/>
    <n v="437.61000000000058"/>
    <n v="7.9565454545454592E-3"/>
    <s v="Unfavorable"/>
  </r>
  <r>
    <x v="2"/>
    <x v="4"/>
    <x v="22"/>
    <x v="3"/>
    <x v="84"/>
    <n v="25000"/>
    <n v="-100.59999999999854"/>
    <n v="-4.02399999999994E-3"/>
    <s v="Favorable"/>
  </r>
  <r>
    <x v="2"/>
    <x v="4"/>
    <x v="23"/>
    <x v="2"/>
    <x v="85"/>
    <n v="30000"/>
    <n v="-336.81999999999971"/>
    <n v="-1.1227333333333299E-2"/>
    <s v="Favorable"/>
  </r>
  <r>
    <x v="2"/>
    <x v="4"/>
    <x v="24"/>
    <x v="2"/>
    <x v="86"/>
    <n v="18000"/>
    <n v="358.22999999999956"/>
    <n v="1.9901666666666599E-2"/>
    <s v="Unfavorable"/>
  </r>
  <r>
    <x v="2"/>
    <x v="4"/>
    <x v="25"/>
    <x v="3"/>
    <x v="87"/>
    <n v="8500"/>
    <n v="992.8700000000008"/>
    <n v="0.116808235294118"/>
    <s v="Unfavorable"/>
  </r>
  <r>
    <x v="2"/>
    <x v="4"/>
    <x v="26"/>
    <x v="3"/>
    <x v="88"/>
    <n v="7500"/>
    <n v="-306.81999999999971"/>
    <n v="-4.0909333333333298E-2"/>
    <s v="Favorable"/>
  </r>
  <r>
    <x v="2"/>
    <x v="4"/>
    <x v="27"/>
    <x v="2"/>
    <x v="89"/>
    <n v="10000"/>
    <n v="-468.60000000000036"/>
    <n v="-4.6859999999999999E-2"/>
    <s v="Favorable"/>
  </r>
  <r>
    <x v="2"/>
    <x v="4"/>
    <x v="28"/>
    <x v="3"/>
    <x v="90"/>
    <n v="4500"/>
    <n v="-70.260000000000218"/>
    <n v="-1.5613333333333399E-2"/>
    <s v="Favorable"/>
  </r>
  <r>
    <x v="2"/>
    <x v="4"/>
    <x v="29"/>
    <x v="2"/>
    <x v="91"/>
    <n v="6000"/>
    <n v="305.86999999999989"/>
    <n v="5.0978333333333299E-2"/>
    <s v="Unfavorable"/>
  </r>
  <r>
    <x v="2"/>
    <x v="4"/>
    <x v="30"/>
    <x v="2"/>
    <x v="92"/>
    <n v="2500"/>
    <n v="292.07999999999993"/>
    <n v="0.11683200000000001"/>
    <s v="Unfavorable"/>
  </r>
  <r>
    <x v="3"/>
    <x v="0"/>
    <x v="0"/>
    <x v="0"/>
    <x v="93"/>
    <n v="43000"/>
    <n v="4328.6999999999971"/>
    <n v="0.100667441860465"/>
    <s v="Favorable"/>
  </r>
  <r>
    <x v="3"/>
    <x v="0"/>
    <x v="1"/>
    <x v="0"/>
    <x v="94"/>
    <n v="82000"/>
    <n v="4167.3800000000047"/>
    <n v="5.0821707317073202E-2"/>
    <s v="Favorable"/>
  </r>
  <r>
    <x v="3"/>
    <x v="0"/>
    <x v="2"/>
    <x v="0"/>
    <x v="95"/>
    <n v="115000"/>
    <n v="10694.199999999997"/>
    <n v="9.2993043478260803E-2"/>
    <s v="Favorable"/>
  </r>
  <r>
    <x v="3"/>
    <x v="0"/>
    <x v="3"/>
    <x v="1"/>
    <x v="96"/>
    <n v="24000"/>
    <n v="7758.8899999999994"/>
    <n v="0.323287083333333"/>
    <s v="Favorable"/>
  </r>
  <r>
    <x v="3"/>
    <x v="0"/>
    <x v="4"/>
    <x v="1"/>
    <x v="97"/>
    <n v="7500"/>
    <n v="1128.1299999999992"/>
    <n v="0.15041733333333299"/>
    <s v="Favorable"/>
  </r>
  <r>
    <x v="3"/>
    <x v="1"/>
    <x v="5"/>
    <x v="2"/>
    <x v="98"/>
    <n v="30000"/>
    <n v="11081.739999999998"/>
    <n v="0.36939133333333302"/>
    <s v="Unfavorable"/>
  </r>
  <r>
    <x v="3"/>
    <x v="1"/>
    <x v="6"/>
    <x v="1"/>
    <x v="99"/>
    <n v="28000"/>
    <n v="404.06999999999971"/>
    <n v="1.4431071428571401E-2"/>
    <s v="Unfavorable"/>
  </r>
  <r>
    <x v="3"/>
    <x v="1"/>
    <x v="7"/>
    <x v="3"/>
    <x v="100"/>
    <n v="7800"/>
    <n v="463.32999999999993"/>
    <n v="5.9401282051281999E-2"/>
    <s v="Unfavorable"/>
  </r>
  <r>
    <x v="3"/>
    <x v="1"/>
    <x v="8"/>
    <x v="2"/>
    <x v="101"/>
    <n v="5500"/>
    <n v="242.78999999999996"/>
    <n v="4.4143636363636399E-2"/>
    <s v="Unfavorable"/>
  </r>
  <r>
    <x v="3"/>
    <x v="2"/>
    <x v="9"/>
    <x v="4"/>
    <x v="102"/>
    <n v="40000"/>
    <n v="5817.6999999999971"/>
    <n v="0.1454425"/>
    <s v="Unfavorable"/>
  </r>
  <r>
    <x v="3"/>
    <x v="2"/>
    <x v="10"/>
    <x v="0"/>
    <x v="103"/>
    <n v="65000"/>
    <n v="96.120000000002619"/>
    <n v="1.47876923076927E-3"/>
    <s v="Unfavorable"/>
  </r>
  <r>
    <x v="3"/>
    <x v="2"/>
    <x v="11"/>
    <x v="4"/>
    <x v="104"/>
    <n v="35000"/>
    <n v="-326.44000000000233"/>
    <n v="-9.3268571428572096E-3"/>
    <s v="Favorable"/>
  </r>
  <r>
    <x v="3"/>
    <x v="2"/>
    <x v="12"/>
    <x v="0"/>
    <x v="105"/>
    <n v="21000"/>
    <n v="3641.8499999999985"/>
    <n v="0.173421428571428"/>
    <s v="Unfavorable"/>
  </r>
  <r>
    <x v="3"/>
    <x v="2"/>
    <x v="13"/>
    <x v="4"/>
    <x v="106"/>
    <n v="8500"/>
    <n v="-330.18000000000029"/>
    <n v="-3.8844705882353003E-2"/>
    <s v="Favorable"/>
  </r>
  <r>
    <x v="3"/>
    <x v="2"/>
    <x v="14"/>
    <x v="4"/>
    <x v="107"/>
    <n v="10000"/>
    <n v="2782.34"/>
    <n v="0.27823399999999998"/>
    <s v="Unfavorable"/>
  </r>
  <r>
    <x v="3"/>
    <x v="2"/>
    <x v="15"/>
    <x v="0"/>
    <x v="108"/>
    <n v="4500"/>
    <n v="-41.649999999999636"/>
    <n v="-9.2555555555554805E-3"/>
    <s v="Favorable"/>
  </r>
  <r>
    <x v="3"/>
    <x v="3"/>
    <x v="16"/>
    <x v="5"/>
    <x v="109"/>
    <n v="95000"/>
    <n v="1724.5"/>
    <n v="1.8152631578947399E-2"/>
    <s v="Unfavorable"/>
  </r>
  <r>
    <x v="3"/>
    <x v="3"/>
    <x v="17"/>
    <x v="6"/>
    <x v="110"/>
    <n v="40000"/>
    <n v="601.36000000000058"/>
    <n v="1.5034E-2"/>
    <s v="Unfavorable"/>
  </r>
  <r>
    <x v="3"/>
    <x v="3"/>
    <x v="18"/>
    <x v="5"/>
    <x v="111"/>
    <n v="12000"/>
    <n v="-567.8700000000008"/>
    <n v="-4.7322500000000101E-2"/>
    <s v="Favorable"/>
  </r>
  <r>
    <x v="3"/>
    <x v="3"/>
    <x v="19"/>
    <x v="5"/>
    <x v="112"/>
    <n v="8500"/>
    <n v="-498.59000000000015"/>
    <n v="-5.8657647058823502E-2"/>
    <s v="Favorable"/>
  </r>
  <r>
    <x v="3"/>
    <x v="3"/>
    <x v="20"/>
    <x v="5"/>
    <x v="113"/>
    <n v="6500"/>
    <n v="-417.75"/>
    <n v="-6.4269230769230801E-2"/>
    <s v="Favorable"/>
  </r>
  <r>
    <x v="3"/>
    <x v="4"/>
    <x v="21"/>
    <x v="7"/>
    <x v="114"/>
    <n v="55000"/>
    <n v="453.88999999999942"/>
    <n v="8.2525454545454395E-3"/>
    <s v="Unfavorable"/>
  </r>
  <r>
    <x v="3"/>
    <x v="4"/>
    <x v="22"/>
    <x v="3"/>
    <x v="115"/>
    <n v="25000"/>
    <n v="370.52000000000044"/>
    <n v="1.48208E-2"/>
    <s v="Unfavorable"/>
  </r>
  <r>
    <x v="3"/>
    <x v="4"/>
    <x v="23"/>
    <x v="2"/>
    <x v="116"/>
    <n v="30000"/>
    <n v="-241.86999999999898"/>
    <n v="-8.0623333333332999E-3"/>
    <s v="Favorable"/>
  </r>
  <r>
    <x v="3"/>
    <x v="4"/>
    <x v="24"/>
    <x v="2"/>
    <x v="117"/>
    <n v="18000"/>
    <n v="100.04000000000087"/>
    <n v="5.5577777777778298E-3"/>
    <s v="Unfavorable"/>
  </r>
  <r>
    <x v="3"/>
    <x v="4"/>
    <x v="25"/>
    <x v="3"/>
    <x v="118"/>
    <n v="8500"/>
    <n v="1440.3700000000008"/>
    <n v="0.16945529411764701"/>
    <s v="Unfavorable"/>
  </r>
  <r>
    <x v="3"/>
    <x v="4"/>
    <x v="26"/>
    <x v="3"/>
    <x v="119"/>
    <n v="7500"/>
    <n v="-260.36999999999989"/>
    <n v="-3.4715999999999997E-2"/>
    <s v="Favorable"/>
  </r>
  <r>
    <x v="3"/>
    <x v="4"/>
    <x v="27"/>
    <x v="2"/>
    <x v="120"/>
    <n v="10000"/>
    <n v="2285.67"/>
    <n v="0.22856699999999999"/>
    <s v="Unfavorable"/>
  </r>
  <r>
    <x v="3"/>
    <x v="4"/>
    <x v="28"/>
    <x v="3"/>
    <x v="121"/>
    <n v="4500"/>
    <n v="7.0900000000001455"/>
    <n v="1.57555555555559E-3"/>
    <s v="Unfavorable"/>
  </r>
  <r>
    <x v="3"/>
    <x v="4"/>
    <x v="29"/>
    <x v="2"/>
    <x v="122"/>
    <n v="6000"/>
    <n v="668.69999999999982"/>
    <n v="0.11144999999999999"/>
    <s v="Unfavorable"/>
  </r>
  <r>
    <x v="3"/>
    <x v="4"/>
    <x v="30"/>
    <x v="2"/>
    <x v="123"/>
    <n v="2500"/>
    <n v="30.349999999999909"/>
    <n v="1.214E-2"/>
    <s v="Unfavorable"/>
  </r>
  <r>
    <x v="4"/>
    <x v="0"/>
    <x v="0"/>
    <x v="0"/>
    <x v="124"/>
    <n v="43000"/>
    <n v="3172.7799999999988"/>
    <n v="7.3785581395348798E-2"/>
    <s v="Favorable"/>
  </r>
  <r>
    <x v="4"/>
    <x v="0"/>
    <x v="1"/>
    <x v="0"/>
    <x v="125"/>
    <n v="82000"/>
    <n v="8185.75"/>
    <n v="9.98262195121951E-2"/>
    <s v="Favorable"/>
  </r>
  <r>
    <x v="4"/>
    <x v="0"/>
    <x v="2"/>
    <x v="0"/>
    <x v="126"/>
    <n v="115000"/>
    <n v="8372.4199999999983"/>
    <n v="7.2803652173913005E-2"/>
    <s v="Favorable"/>
  </r>
  <r>
    <x v="4"/>
    <x v="0"/>
    <x v="3"/>
    <x v="1"/>
    <x v="127"/>
    <n v="24000"/>
    <n v="7634.27"/>
    <n v="0.31809458333333301"/>
    <s v="Favorable"/>
  </r>
  <r>
    <x v="4"/>
    <x v="0"/>
    <x v="4"/>
    <x v="1"/>
    <x v="128"/>
    <n v="7500"/>
    <n v="3103.2900000000009"/>
    <n v="0.41377199999999997"/>
    <s v="Favorable"/>
  </r>
  <r>
    <x v="4"/>
    <x v="1"/>
    <x v="5"/>
    <x v="2"/>
    <x v="129"/>
    <n v="30000"/>
    <n v="10146.699999999997"/>
    <n v="0.33822333333333299"/>
    <s v="Unfavorable"/>
  </r>
  <r>
    <x v="4"/>
    <x v="1"/>
    <x v="6"/>
    <x v="1"/>
    <x v="130"/>
    <n v="28000"/>
    <n v="-215.58000000000175"/>
    <n v="-7.69928571428578E-3"/>
    <s v="Favorable"/>
  </r>
  <r>
    <x v="4"/>
    <x v="1"/>
    <x v="7"/>
    <x v="3"/>
    <x v="131"/>
    <n v="7800"/>
    <n v="569.95999999999913"/>
    <n v="7.3071794871794798E-2"/>
    <s v="Unfavorable"/>
  </r>
  <r>
    <x v="4"/>
    <x v="1"/>
    <x v="8"/>
    <x v="2"/>
    <x v="132"/>
    <n v="5500"/>
    <n v="415.8100000000004"/>
    <n v="7.5601818181818201E-2"/>
    <s v="Unfavorable"/>
  </r>
  <r>
    <x v="4"/>
    <x v="2"/>
    <x v="9"/>
    <x v="4"/>
    <x v="133"/>
    <n v="40000"/>
    <n v="7011.2699999999968"/>
    <n v="0.17528174999999999"/>
    <s v="Unfavorable"/>
  </r>
  <r>
    <x v="4"/>
    <x v="2"/>
    <x v="10"/>
    <x v="0"/>
    <x v="134"/>
    <n v="65000"/>
    <n v="-1077.3000000000029"/>
    <n v="-1.6573846153846199E-2"/>
    <s v="Favorable"/>
  </r>
  <r>
    <x v="4"/>
    <x v="2"/>
    <x v="11"/>
    <x v="4"/>
    <x v="135"/>
    <n v="35000"/>
    <n v="-19.610000000000582"/>
    <n v="-5.6028571428573103E-4"/>
    <s v="Favorable"/>
  </r>
  <r>
    <x v="4"/>
    <x v="2"/>
    <x v="12"/>
    <x v="0"/>
    <x v="136"/>
    <n v="21000"/>
    <n v="1076.130000000001"/>
    <n v="5.1244285714285798E-2"/>
    <s v="Unfavorable"/>
  </r>
  <r>
    <x v="4"/>
    <x v="2"/>
    <x v="13"/>
    <x v="4"/>
    <x v="137"/>
    <n v="8500"/>
    <n v="221.51000000000022"/>
    <n v="2.606E-2"/>
    <s v="Unfavorable"/>
  </r>
  <r>
    <x v="4"/>
    <x v="2"/>
    <x v="14"/>
    <x v="4"/>
    <x v="138"/>
    <n v="10000"/>
    <n v="-2441.2299999999996"/>
    <n v="-0.24412300000000001"/>
    <s v="Favorable"/>
  </r>
  <r>
    <x v="4"/>
    <x v="2"/>
    <x v="15"/>
    <x v="0"/>
    <x v="139"/>
    <n v="4500"/>
    <n v="-334.44999999999982"/>
    <n v="-7.4322222222222206E-2"/>
    <s v="Favorable"/>
  </r>
  <r>
    <x v="4"/>
    <x v="3"/>
    <x v="16"/>
    <x v="5"/>
    <x v="140"/>
    <n v="95000"/>
    <n v="-93.929999999993015"/>
    <n v="-9.8873684210519009E-4"/>
    <s v="Favorable"/>
  </r>
  <r>
    <x v="4"/>
    <x v="3"/>
    <x v="17"/>
    <x v="6"/>
    <x v="141"/>
    <n v="40000"/>
    <n v="79.690000000002328"/>
    <n v="1.9922500000000599E-3"/>
    <s v="Unfavorable"/>
  </r>
  <r>
    <x v="4"/>
    <x v="3"/>
    <x v="18"/>
    <x v="5"/>
    <x v="142"/>
    <n v="12000"/>
    <n v="-563.86000000000058"/>
    <n v="-4.6988333333333403E-2"/>
    <s v="Favorable"/>
  </r>
  <r>
    <x v="4"/>
    <x v="3"/>
    <x v="19"/>
    <x v="5"/>
    <x v="143"/>
    <n v="8500"/>
    <n v="393.84000000000015"/>
    <n v="4.6334117647058803E-2"/>
    <s v="Unfavorable"/>
  </r>
  <r>
    <x v="4"/>
    <x v="3"/>
    <x v="20"/>
    <x v="5"/>
    <x v="144"/>
    <n v="6500"/>
    <n v="-99.920000000000073"/>
    <n v="-1.5372307692307701E-2"/>
    <s v="Favorable"/>
  </r>
  <r>
    <x v="4"/>
    <x v="4"/>
    <x v="21"/>
    <x v="7"/>
    <x v="145"/>
    <n v="55000"/>
    <n v="-317.0199999999968"/>
    <n v="-5.7639999999999402E-3"/>
    <s v="Favorable"/>
  </r>
  <r>
    <x v="4"/>
    <x v="4"/>
    <x v="22"/>
    <x v="3"/>
    <x v="146"/>
    <n v="25000"/>
    <n v="39.299999999999272"/>
    <n v="1.5719999999999699E-3"/>
    <s v="Unfavorable"/>
  </r>
  <r>
    <x v="4"/>
    <x v="4"/>
    <x v="23"/>
    <x v="2"/>
    <x v="147"/>
    <n v="30000"/>
    <n v="275.91999999999825"/>
    <n v="9.1973333333332796E-3"/>
    <s v="Unfavorable"/>
  </r>
  <r>
    <x v="4"/>
    <x v="4"/>
    <x v="24"/>
    <x v="2"/>
    <x v="148"/>
    <n v="18000"/>
    <n v="-215.16999999999825"/>
    <n v="-1.19538888888888E-2"/>
    <s v="Favorable"/>
  </r>
  <r>
    <x v="4"/>
    <x v="4"/>
    <x v="25"/>
    <x v="3"/>
    <x v="149"/>
    <n v="8500"/>
    <n v="102.71999999999935"/>
    <n v="1.20847058823529E-2"/>
    <s v="Unfavorable"/>
  </r>
  <r>
    <x v="4"/>
    <x v="4"/>
    <x v="26"/>
    <x v="3"/>
    <x v="150"/>
    <n v="7500"/>
    <n v="371.35999999999967"/>
    <n v="4.9514666666666603E-2"/>
    <s v="Unfavorable"/>
  </r>
  <r>
    <x v="4"/>
    <x v="4"/>
    <x v="27"/>
    <x v="2"/>
    <x v="151"/>
    <n v="10000"/>
    <n v="1852.0300000000007"/>
    <n v="0.18520300000000001"/>
    <s v="Unfavorable"/>
  </r>
  <r>
    <x v="4"/>
    <x v="4"/>
    <x v="28"/>
    <x v="3"/>
    <x v="152"/>
    <n v="4500"/>
    <n v="-11.140000000000327"/>
    <n v="-2.4755555555556301E-3"/>
    <s v="Favorable"/>
  </r>
  <r>
    <x v="4"/>
    <x v="4"/>
    <x v="29"/>
    <x v="2"/>
    <x v="153"/>
    <n v="6000"/>
    <n v="42.180000000000291"/>
    <n v="7.0300000000000501E-3"/>
    <s v="Unfavorable"/>
  </r>
  <r>
    <x v="4"/>
    <x v="4"/>
    <x v="30"/>
    <x v="2"/>
    <x v="154"/>
    <n v="2500"/>
    <n v="-379"/>
    <n v="-0.15160000000000001"/>
    <s v="Favorable"/>
  </r>
  <r>
    <x v="5"/>
    <x v="0"/>
    <x v="0"/>
    <x v="0"/>
    <x v="155"/>
    <n v="43000"/>
    <n v="5137.25"/>
    <n v="0.119470930232558"/>
    <s v="Favorable"/>
  </r>
  <r>
    <x v="5"/>
    <x v="0"/>
    <x v="1"/>
    <x v="0"/>
    <x v="156"/>
    <n v="82000"/>
    <n v="9986.1000000000058"/>
    <n v="0.121781707317073"/>
    <s v="Favorable"/>
  </r>
  <r>
    <x v="5"/>
    <x v="0"/>
    <x v="2"/>
    <x v="0"/>
    <x v="157"/>
    <n v="115000"/>
    <n v="18165.679999999993"/>
    <n v="0.15796243478260899"/>
    <s v="Favorable"/>
  </r>
  <r>
    <x v="5"/>
    <x v="0"/>
    <x v="3"/>
    <x v="1"/>
    <x v="158"/>
    <n v="24000"/>
    <n v="531.2599999999984"/>
    <n v="2.2135833333333299E-2"/>
    <s v="Favorable"/>
  </r>
  <r>
    <x v="5"/>
    <x v="0"/>
    <x v="4"/>
    <x v="1"/>
    <x v="159"/>
    <n v="7500"/>
    <n v="-177.25"/>
    <n v="-2.3633333333333301E-2"/>
    <s v="Unfavorable"/>
  </r>
  <r>
    <x v="5"/>
    <x v="1"/>
    <x v="5"/>
    <x v="2"/>
    <x v="160"/>
    <n v="30000"/>
    <n v="3605.3399999999965"/>
    <n v="0.12017799999999999"/>
    <s v="Unfavorable"/>
  </r>
  <r>
    <x v="5"/>
    <x v="1"/>
    <x v="6"/>
    <x v="1"/>
    <x v="161"/>
    <n v="28000"/>
    <n v="146.84000000000015"/>
    <n v="5.2442857142857204E-3"/>
    <s v="Unfavorable"/>
  </r>
  <r>
    <x v="5"/>
    <x v="1"/>
    <x v="7"/>
    <x v="3"/>
    <x v="162"/>
    <n v="7800"/>
    <n v="809.28000000000065"/>
    <n v="0.103753846153846"/>
    <s v="Unfavorable"/>
  </r>
  <r>
    <x v="5"/>
    <x v="1"/>
    <x v="8"/>
    <x v="2"/>
    <x v="163"/>
    <n v="5500"/>
    <n v="445.96000000000004"/>
    <n v="8.1083636363636399E-2"/>
    <s v="Unfavorable"/>
  </r>
  <r>
    <x v="5"/>
    <x v="2"/>
    <x v="9"/>
    <x v="4"/>
    <x v="164"/>
    <n v="40000"/>
    <n v="22934.79"/>
    <n v="0.57336975000000001"/>
    <s v="Unfavorable"/>
  </r>
  <r>
    <x v="5"/>
    <x v="2"/>
    <x v="10"/>
    <x v="0"/>
    <x v="165"/>
    <n v="65000"/>
    <n v="-1115.7699999999968"/>
    <n v="-1.7165692307692298E-2"/>
    <s v="Favorable"/>
  </r>
  <r>
    <x v="5"/>
    <x v="2"/>
    <x v="11"/>
    <x v="4"/>
    <x v="166"/>
    <n v="35000"/>
    <n v="-366.79000000000087"/>
    <n v="-1.0479714285714301E-2"/>
    <s v="Favorable"/>
  </r>
  <r>
    <x v="5"/>
    <x v="2"/>
    <x v="12"/>
    <x v="0"/>
    <x v="167"/>
    <n v="21000"/>
    <n v="4236.4399999999987"/>
    <n v="0.201735238095238"/>
    <s v="Unfavorable"/>
  </r>
  <r>
    <x v="5"/>
    <x v="2"/>
    <x v="13"/>
    <x v="4"/>
    <x v="168"/>
    <n v="8500"/>
    <n v="-242.89999999999964"/>
    <n v="-2.85764705882352E-2"/>
    <s v="Favorable"/>
  </r>
  <r>
    <x v="5"/>
    <x v="2"/>
    <x v="14"/>
    <x v="4"/>
    <x v="169"/>
    <n v="10000"/>
    <n v="4947.0200000000004"/>
    <n v="0.49470199999999998"/>
    <s v="Unfavorable"/>
  </r>
  <r>
    <x v="5"/>
    <x v="2"/>
    <x v="15"/>
    <x v="0"/>
    <x v="170"/>
    <n v="4500"/>
    <n v="391.96000000000004"/>
    <n v="8.7102222222222206E-2"/>
    <s v="Unfavorable"/>
  </r>
  <r>
    <x v="5"/>
    <x v="3"/>
    <x v="16"/>
    <x v="5"/>
    <x v="171"/>
    <n v="95000"/>
    <n v="269.9600000000064"/>
    <n v="2.8416842105263799E-3"/>
    <s v="Unfavorable"/>
  </r>
  <r>
    <x v="5"/>
    <x v="3"/>
    <x v="17"/>
    <x v="6"/>
    <x v="172"/>
    <n v="40000"/>
    <n v="-43.730000000003201"/>
    <n v="-1.0932500000000801E-3"/>
    <s v="Favorable"/>
  </r>
  <r>
    <x v="5"/>
    <x v="3"/>
    <x v="18"/>
    <x v="5"/>
    <x v="173"/>
    <n v="12000"/>
    <n v="683.09000000000015"/>
    <n v="5.6924166666666699E-2"/>
    <s v="Unfavorable"/>
  </r>
  <r>
    <x v="5"/>
    <x v="3"/>
    <x v="19"/>
    <x v="5"/>
    <x v="174"/>
    <n v="8500"/>
    <n v="237.98999999999978"/>
    <n v="2.7998823529411701E-2"/>
    <s v="Unfavorable"/>
  </r>
  <r>
    <x v="5"/>
    <x v="3"/>
    <x v="20"/>
    <x v="5"/>
    <x v="175"/>
    <n v="6500"/>
    <n v="-402.47000000000025"/>
    <n v="-6.1918461538461603E-2"/>
    <s v="Favorable"/>
  </r>
  <r>
    <x v="5"/>
    <x v="4"/>
    <x v="21"/>
    <x v="7"/>
    <x v="176"/>
    <n v="55000"/>
    <n v="-443.37999999999738"/>
    <n v="-8.0614545454545002E-3"/>
    <s v="Favorable"/>
  </r>
  <r>
    <x v="5"/>
    <x v="4"/>
    <x v="22"/>
    <x v="3"/>
    <x v="177"/>
    <n v="25000"/>
    <n v="-68.950000000000728"/>
    <n v="-2.75800000000003E-3"/>
    <s v="Favorable"/>
  </r>
  <r>
    <x v="5"/>
    <x v="4"/>
    <x v="23"/>
    <x v="2"/>
    <x v="178"/>
    <n v="30000"/>
    <n v="-91.709999999999127"/>
    <n v="-3.0569999999999699E-3"/>
    <s v="Favorable"/>
  </r>
  <r>
    <x v="5"/>
    <x v="4"/>
    <x v="24"/>
    <x v="2"/>
    <x v="179"/>
    <n v="18000"/>
    <n v="-23.740000000001601"/>
    <n v="-1.31888888888898E-3"/>
    <s v="Favorable"/>
  </r>
  <r>
    <x v="5"/>
    <x v="4"/>
    <x v="25"/>
    <x v="3"/>
    <x v="180"/>
    <n v="8500"/>
    <n v="1980.8400000000001"/>
    <n v="0.23304"/>
    <s v="Unfavorable"/>
  </r>
  <r>
    <x v="5"/>
    <x v="4"/>
    <x v="26"/>
    <x v="3"/>
    <x v="181"/>
    <n v="7500"/>
    <n v="130.02000000000044"/>
    <n v="1.7336000000000101E-2"/>
    <s v="Unfavorable"/>
  </r>
  <r>
    <x v="5"/>
    <x v="4"/>
    <x v="27"/>
    <x v="2"/>
    <x v="182"/>
    <n v="10000"/>
    <n v="3139.0400000000009"/>
    <n v="0.31390400000000002"/>
    <s v="Unfavorable"/>
  </r>
  <r>
    <x v="5"/>
    <x v="4"/>
    <x v="28"/>
    <x v="3"/>
    <x v="183"/>
    <n v="4500"/>
    <n v="-72.279999999999745"/>
    <n v="-1.60622222222222E-2"/>
    <s v="Favorable"/>
  </r>
  <r>
    <x v="5"/>
    <x v="4"/>
    <x v="29"/>
    <x v="2"/>
    <x v="184"/>
    <n v="6000"/>
    <n v="-233.71000000000004"/>
    <n v="-3.8951666666666697E-2"/>
    <s v="Favorable"/>
  </r>
  <r>
    <x v="5"/>
    <x v="4"/>
    <x v="30"/>
    <x v="2"/>
    <x v="185"/>
    <n v="2500"/>
    <n v="-160.69999999999982"/>
    <n v="-6.4279999999999907E-2"/>
    <s v="Favorable"/>
  </r>
  <r>
    <x v="6"/>
    <x v="0"/>
    <x v="0"/>
    <x v="0"/>
    <x v="186"/>
    <n v="43000"/>
    <n v="9222.8300000000017"/>
    <n v="0.21448441860465101"/>
    <s v="Favorable"/>
  </r>
  <r>
    <x v="6"/>
    <x v="0"/>
    <x v="1"/>
    <x v="0"/>
    <x v="187"/>
    <n v="82000"/>
    <n v="10807.210000000006"/>
    <n v="0.13179524390243899"/>
    <s v="Favorable"/>
  </r>
  <r>
    <x v="6"/>
    <x v="0"/>
    <x v="2"/>
    <x v="0"/>
    <x v="188"/>
    <n v="115000"/>
    <n v="15236.410000000003"/>
    <n v="0.13249052173913001"/>
    <s v="Favorable"/>
  </r>
  <r>
    <x v="6"/>
    <x v="0"/>
    <x v="3"/>
    <x v="1"/>
    <x v="189"/>
    <n v="24000"/>
    <n v="3424.4700000000012"/>
    <n v="0.14268624999999999"/>
    <s v="Favorable"/>
  </r>
  <r>
    <x v="6"/>
    <x v="0"/>
    <x v="4"/>
    <x v="1"/>
    <x v="190"/>
    <n v="7500"/>
    <n v="1040.0400000000009"/>
    <n v="0.13867199999999999"/>
    <s v="Favorable"/>
  </r>
  <r>
    <x v="6"/>
    <x v="1"/>
    <x v="5"/>
    <x v="2"/>
    <x v="191"/>
    <n v="30000"/>
    <n v="6213.6999999999971"/>
    <n v="0.20712333333333299"/>
    <s v="Unfavorable"/>
  </r>
  <r>
    <x v="6"/>
    <x v="1"/>
    <x v="6"/>
    <x v="1"/>
    <x v="192"/>
    <n v="28000"/>
    <n v="-280.22000000000116"/>
    <n v="-1.00078571428572E-2"/>
    <s v="Favorable"/>
  </r>
  <r>
    <x v="6"/>
    <x v="1"/>
    <x v="7"/>
    <x v="3"/>
    <x v="193"/>
    <n v="7800"/>
    <n v="1607.7199999999993"/>
    <n v="0.206117948717949"/>
    <s v="Unfavorable"/>
  </r>
  <r>
    <x v="6"/>
    <x v="1"/>
    <x v="8"/>
    <x v="2"/>
    <x v="194"/>
    <n v="5500"/>
    <n v="-62.5600000000004"/>
    <n v="-1.13745454545455E-2"/>
    <s v="Favorable"/>
  </r>
  <r>
    <x v="6"/>
    <x v="2"/>
    <x v="9"/>
    <x v="4"/>
    <x v="195"/>
    <n v="48000"/>
    <n v="-1373.9300000000003"/>
    <n v="-2.86235416666667E-2"/>
    <s v="Favorable"/>
  </r>
  <r>
    <x v="6"/>
    <x v="2"/>
    <x v="10"/>
    <x v="0"/>
    <x v="196"/>
    <n v="65000"/>
    <n v="130.84999999999854"/>
    <n v="2.0130769230769E-3"/>
    <s v="Unfavorable"/>
  </r>
  <r>
    <x v="6"/>
    <x v="2"/>
    <x v="11"/>
    <x v="4"/>
    <x v="197"/>
    <n v="35000"/>
    <n v="-629.18000000000029"/>
    <n v="-1.7976571428571401E-2"/>
    <s v="Favorable"/>
  </r>
  <r>
    <x v="6"/>
    <x v="2"/>
    <x v="12"/>
    <x v="0"/>
    <x v="198"/>
    <n v="21000"/>
    <n v="6384.75"/>
    <n v="0.30403571428571402"/>
    <s v="Unfavorable"/>
  </r>
  <r>
    <x v="6"/>
    <x v="2"/>
    <x v="13"/>
    <x v="4"/>
    <x v="199"/>
    <n v="8500"/>
    <n v="285.6200000000008"/>
    <n v="3.3602352941176597E-2"/>
    <s v="Unfavorable"/>
  </r>
  <r>
    <x v="6"/>
    <x v="2"/>
    <x v="14"/>
    <x v="4"/>
    <x v="200"/>
    <n v="10000"/>
    <n v="-6437.2"/>
    <n v="-0.64371999999999996"/>
    <s v="Favorable"/>
  </r>
  <r>
    <x v="6"/>
    <x v="2"/>
    <x v="15"/>
    <x v="0"/>
    <x v="201"/>
    <n v="4500"/>
    <n v="383.72999999999956"/>
    <n v="8.5273333333333201E-2"/>
    <s v="Unfavorable"/>
  </r>
  <r>
    <x v="6"/>
    <x v="3"/>
    <x v="16"/>
    <x v="5"/>
    <x v="202"/>
    <n v="105000"/>
    <n v="-8674.9600000000064"/>
    <n v="-8.2618666666666701E-2"/>
    <s v="Favorable"/>
  </r>
  <r>
    <x v="6"/>
    <x v="3"/>
    <x v="17"/>
    <x v="6"/>
    <x v="203"/>
    <n v="40000"/>
    <n v="-533.90000000000146"/>
    <n v="-1.33475E-2"/>
    <s v="Favorable"/>
  </r>
  <r>
    <x v="6"/>
    <x v="3"/>
    <x v="18"/>
    <x v="5"/>
    <x v="204"/>
    <n v="12000"/>
    <n v="-34.459999999999127"/>
    <n v="-2.8716666666665901E-3"/>
    <s v="Favorable"/>
  </r>
  <r>
    <x v="6"/>
    <x v="3"/>
    <x v="19"/>
    <x v="5"/>
    <x v="205"/>
    <n v="8500"/>
    <n v="-1187.0100000000002"/>
    <n v="-0.13964823529411799"/>
    <s v="Favorable"/>
  </r>
  <r>
    <x v="6"/>
    <x v="3"/>
    <x v="20"/>
    <x v="5"/>
    <x v="206"/>
    <n v="6500"/>
    <n v="-128.64999999999964"/>
    <n v="-1.9792307692307599E-2"/>
    <s v="Favorable"/>
  </r>
  <r>
    <x v="6"/>
    <x v="4"/>
    <x v="21"/>
    <x v="7"/>
    <x v="207"/>
    <n v="55000"/>
    <n v="-485.5"/>
    <n v="-8.8272727272727305E-3"/>
    <s v="Favorable"/>
  </r>
  <r>
    <x v="6"/>
    <x v="4"/>
    <x v="22"/>
    <x v="3"/>
    <x v="208"/>
    <n v="25000"/>
    <n v="-121.02999999999884"/>
    <n v="-4.8411999999999501E-3"/>
    <s v="Favorable"/>
  </r>
  <r>
    <x v="6"/>
    <x v="4"/>
    <x v="23"/>
    <x v="2"/>
    <x v="209"/>
    <n v="30000"/>
    <n v="582.36999999999898"/>
    <n v="1.9412333333333299E-2"/>
    <s v="Unfavorable"/>
  </r>
  <r>
    <x v="6"/>
    <x v="4"/>
    <x v="24"/>
    <x v="2"/>
    <x v="210"/>
    <n v="18000"/>
    <n v="-169.04999999999927"/>
    <n v="-9.3916666666666298E-3"/>
    <s v="Favorable"/>
  </r>
  <r>
    <x v="6"/>
    <x v="4"/>
    <x v="25"/>
    <x v="3"/>
    <x v="211"/>
    <n v="8500"/>
    <n v="2228.3199999999997"/>
    <n v="0.26215529411764699"/>
    <s v="Unfavorable"/>
  </r>
  <r>
    <x v="6"/>
    <x v="4"/>
    <x v="26"/>
    <x v="3"/>
    <x v="212"/>
    <n v="7500"/>
    <n v="-33.739999999999782"/>
    <n v="-4.4986666666666404E-3"/>
    <s v="Favorable"/>
  </r>
  <r>
    <x v="6"/>
    <x v="4"/>
    <x v="27"/>
    <x v="2"/>
    <x v="213"/>
    <n v="12000"/>
    <n v="-1021.4200000000001"/>
    <n v="-8.5118333333333407E-2"/>
    <s v="Favorable"/>
  </r>
  <r>
    <x v="6"/>
    <x v="4"/>
    <x v="28"/>
    <x v="3"/>
    <x v="214"/>
    <n v="4500"/>
    <n v="82.319999999999709"/>
    <n v="1.82933333333333E-2"/>
    <s v="Unfavorable"/>
  </r>
  <r>
    <x v="6"/>
    <x v="4"/>
    <x v="29"/>
    <x v="2"/>
    <x v="215"/>
    <n v="6000"/>
    <n v="1189.0100000000002"/>
    <n v="0.198168333333333"/>
    <s v="Unfavorable"/>
  </r>
  <r>
    <x v="6"/>
    <x v="4"/>
    <x v="30"/>
    <x v="2"/>
    <x v="216"/>
    <n v="2500"/>
    <n v="55.769999999999982"/>
    <n v="2.2308000000000001E-2"/>
    <s v="Unfavorable"/>
  </r>
  <r>
    <x v="7"/>
    <x v="0"/>
    <x v="0"/>
    <x v="0"/>
    <x v="217"/>
    <n v="43000"/>
    <n v="9420.43"/>
    <n v="0.21907976744186"/>
    <s v="Favorable"/>
  </r>
  <r>
    <x v="7"/>
    <x v="0"/>
    <x v="1"/>
    <x v="0"/>
    <x v="218"/>
    <n v="82000"/>
    <n v="11554.979999999996"/>
    <n v="0.14091439024390201"/>
    <s v="Favorable"/>
  </r>
  <r>
    <x v="7"/>
    <x v="0"/>
    <x v="2"/>
    <x v="0"/>
    <x v="219"/>
    <n v="115000"/>
    <n v="19018.959999999992"/>
    <n v="0.16538226086956501"/>
    <s v="Favorable"/>
  </r>
  <r>
    <x v="7"/>
    <x v="0"/>
    <x v="3"/>
    <x v="1"/>
    <x v="220"/>
    <n v="24000"/>
    <n v="9843.2900000000009"/>
    <n v="0.41013708333333299"/>
    <s v="Favorable"/>
  </r>
  <r>
    <x v="7"/>
    <x v="0"/>
    <x v="4"/>
    <x v="1"/>
    <x v="221"/>
    <n v="7500"/>
    <n v="2053.2700000000004"/>
    <n v="0.27376933333333298"/>
    <s v="Favorable"/>
  </r>
  <r>
    <x v="7"/>
    <x v="1"/>
    <x v="5"/>
    <x v="2"/>
    <x v="222"/>
    <n v="30000"/>
    <n v="10186.449999999997"/>
    <n v="0.33954833333333301"/>
    <s v="Unfavorable"/>
  </r>
  <r>
    <x v="7"/>
    <x v="1"/>
    <x v="6"/>
    <x v="1"/>
    <x v="223"/>
    <n v="28000"/>
    <n v="277.72999999999956"/>
    <n v="9.9189285714285595E-3"/>
    <s v="Unfavorable"/>
  </r>
  <r>
    <x v="7"/>
    <x v="1"/>
    <x v="7"/>
    <x v="3"/>
    <x v="224"/>
    <n v="7800"/>
    <n v="1163.0300000000007"/>
    <n v="0.14910641025641"/>
    <s v="Unfavorable"/>
  </r>
  <r>
    <x v="7"/>
    <x v="1"/>
    <x v="8"/>
    <x v="2"/>
    <x v="225"/>
    <n v="5500"/>
    <n v="92.600000000000364"/>
    <n v="1.6836363636363701E-2"/>
    <s v="Unfavorable"/>
  </r>
  <r>
    <x v="7"/>
    <x v="2"/>
    <x v="9"/>
    <x v="4"/>
    <x v="226"/>
    <n v="48000"/>
    <n v="-2987.1699999999983"/>
    <n v="-6.2232708333333303E-2"/>
    <s v="Favorable"/>
  </r>
  <r>
    <x v="7"/>
    <x v="2"/>
    <x v="10"/>
    <x v="0"/>
    <x v="227"/>
    <n v="65000"/>
    <n v="917.07000000000698"/>
    <n v="1.41087692307693E-2"/>
    <s v="Unfavorable"/>
  </r>
  <r>
    <x v="7"/>
    <x v="2"/>
    <x v="11"/>
    <x v="4"/>
    <x v="228"/>
    <n v="35000"/>
    <n v="-479.58999999999651"/>
    <n v="-1.37025714285713E-2"/>
    <s v="Favorable"/>
  </r>
  <r>
    <x v="7"/>
    <x v="2"/>
    <x v="12"/>
    <x v="0"/>
    <x v="229"/>
    <n v="21000"/>
    <n v="7255.4599999999991"/>
    <n v="0.34549809523809499"/>
    <s v="Unfavorable"/>
  </r>
  <r>
    <x v="7"/>
    <x v="2"/>
    <x v="13"/>
    <x v="4"/>
    <x v="230"/>
    <n v="8500"/>
    <n v="-356.90999999999985"/>
    <n v="-4.19894117647059E-2"/>
    <s v="Favorable"/>
  </r>
  <r>
    <x v="7"/>
    <x v="2"/>
    <x v="14"/>
    <x v="4"/>
    <x v="231"/>
    <n v="10000"/>
    <n v="-7377.01"/>
    <n v="-0.73770100000000005"/>
    <s v="Favorable"/>
  </r>
  <r>
    <x v="7"/>
    <x v="2"/>
    <x v="15"/>
    <x v="0"/>
    <x v="232"/>
    <n v="4500"/>
    <n v="85.529999999999745"/>
    <n v="1.9006666666666599E-2"/>
    <s v="Unfavorable"/>
  </r>
  <r>
    <x v="7"/>
    <x v="3"/>
    <x v="16"/>
    <x v="5"/>
    <x v="233"/>
    <n v="105000"/>
    <n v="-9334.1900000000023"/>
    <n v="-8.8897047619047598E-2"/>
    <s v="Favorable"/>
  </r>
  <r>
    <x v="7"/>
    <x v="3"/>
    <x v="17"/>
    <x v="6"/>
    <x v="234"/>
    <n v="40000"/>
    <n v="-423.66999999999825"/>
    <n v="-1.059175E-2"/>
    <s v="Favorable"/>
  </r>
  <r>
    <x v="7"/>
    <x v="3"/>
    <x v="18"/>
    <x v="5"/>
    <x v="235"/>
    <n v="12000"/>
    <n v="-912.27000000000044"/>
    <n v="-7.6022500000000007E-2"/>
    <s v="Favorable"/>
  </r>
  <r>
    <x v="7"/>
    <x v="3"/>
    <x v="19"/>
    <x v="5"/>
    <x v="236"/>
    <n v="8500"/>
    <n v="436.69000000000051"/>
    <n v="5.1375294117647102E-2"/>
    <s v="Unfavorable"/>
  </r>
  <r>
    <x v="7"/>
    <x v="3"/>
    <x v="20"/>
    <x v="5"/>
    <x v="237"/>
    <n v="6500"/>
    <n v="-329.92000000000007"/>
    <n v="-5.0756923076923102E-2"/>
    <s v="Favorable"/>
  </r>
  <r>
    <x v="7"/>
    <x v="4"/>
    <x v="21"/>
    <x v="7"/>
    <x v="238"/>
    <n v="55000"/>
    <n v="103.97000000000116"/>
    <n v="1.8903636363636601E-3"/>
    <s v="Unfavorable"/>
  </r>
  <r>
    <x v="7"/>
    <x v="4"/>
    <x v="22"/>
    <x v="3"/>
    <x v="239"/>
    <n v="25000"/>
    <n v="119.38000000000102"/>
    <n v="4.7752000000000402E-3"/>
    <s v="Unfavorable"/>
  </r>
  <r>
    <x v="7"/>
    <x v="4"/>
    <x v="23"/>
    <x v="2"/>
    <x v="240"/>
    <n v="30000"/>
    <n v="-96.930000000000291"/>
    <n v="-3.2310000000000099E-3"/>
    <s v="Favorable"/>
  </r>
  <r>
    <x v="7"/>
    <x v="4"/>
    <x v="24"/>
    <x v="2"/>
    <x v="241"/>
    <n v="18000"/>
    <n v="60.240000000001601"/>
    <n v="3.3466666666667599E-3"/>
    <s v="Unfavorable"/>
  </r>
  <r>
    <x v="7"/>
    <x v="4"/>
    <x v="25"/>
    <x v="3"/>
    <x v="242"/>
    <n v="8500"/>
    <n v="36500"/>
    <n v="4.2941176470588198"/>
    <s v="Unfavorable"/>
  </r>
  <r>
    <x v="7"/>
    <x v="4"/>
    <x v="26"/>
    <x v="3"/>
    <x v="243"/>
    <n v="7500"/>
    <n v="326.02999999999975"/>
    <n v="4.3470666666666602E-2"/>
    <s v="Unfavorable"/>
  </r>
  <r>
    <x v="7"/>
    <x v="4"/>
    <x v="27"/>
    <x v="2"/>
    <x v="244"/>
    <n v="12000"/>
    <n v="-1863.6000000000004"/>
    <n v="-0.15529999999999999"/>
    <s v="Favorable"/>
  </r>
  <r>
    <x v="7"/>
    <x v="4"/>
    <x v="28"/>
    <x v="3"/>
    <x v="245"/>
    <n v="4500"/>
    <n v="38.909999999999854"/>
    <n v="8.6466666666666393E-3"/>
    <s v="Unfavorable"/>
  </r>
  <r>
    <x v="7"/>
    <x v="4"/>
    <x v="29"/>
    <x v="2"/>
    <x v="246"/>
    <n v="6000"/>
    <n v="-627.14999999999964"/>
    <n v="-0.10452500000000001"/>
    <s v="Favorable"/>
  </r>
  <r>
    <x v="7"/>
    <x v="4"/>
    <x v="30"/>
    <x v="2"/>
    <x v="247"/>
    <n v="2500"/>
    <n v="-104.21000000000004"/>
    <n v="-4.1683999999999999E-2"/>
    <s v="Favorable"/>
  </r>
  <r>
    <x v="8"/>
    <x v="0"/>
    <x v="0"/>
    <x v="0"/>
    <x v="248"/>
    <n v="43000"/>
    <n v="10096.220000000001"/>
    <n v="0.234795813953488"/>
    <s v="Favorable"/>
  </r>
  <r>
    <x v="8"/>
    <x v="0"/>
    <x v="1"/>
    <x v="0"/>
    <x v="249"/>
    <n v="82000"/>
    <n v="14627.970000000001"/>
    <n v="0.17838987804878001"/>
    <s v="Favorable"/>
  </r>
  <r>
    <x v="8"/>
    <x v="0"/>
    <x v="2"/>
    <x v="0"/>
    <x v="250"/>
    <n v="115000"/>
    <n v="21641.190000000002"/>
    <n v="0.188184260869565"/>
    <s v="Favorable"/>
  </r>
  <r>
    <x v="8"/>
    <x v="0"/>
    <x v="3"/>
    <x v="1"/>
    <x v="251"/>
    <n v="24000"/>
    <n v="7921.630000000001"/>
    <n v="0.33006791666666702"/>
    <s v="Favorable"/>
  </r>
  <r>
    <x v="8"/>
    <x v="0"/>
    <x v="4"/>
    <x v="1"/>
    <x v="252"/>
    <n v="7500"/>
    <n v="-600.07999999999993"/>
    <n v="-8.0010666666666605E-2"/>
    <s v="Unfavorable"/>
  </r>
  <r>
    <x v="8"/>
    <x v="1"/>
    <x v="5"/>
    <x v="2"/>
    <x v="253"/>
    <n v="30000"/>
    <n v="9591.0400000000009"/>
    <n v="0.319701333333333"/>
    <s v="Unfavorable"/>
  </r>
  <r>
    <x v="8"/>
    <x v="1"/>
    <x v="6"/>
    <x v="1"/>
    <x v="254"/>
    <n v="28000"/>
    <n v="558.27000000000044"/>
    <n v="1.9938214285714299E-2"/>
    <s v="Unfavorable"/>
  </r>
  <r>
    <x v="8"/>
    <x v="1"/>
    <x v="7"/>
    <x v="3"/>
    <x v="255"/>
    <n v="7800"/>
    <n v="2098.2600000000002"/>
    <n v="0.269007692307692"/>
    <s v="Unfavorable"/>
  </r>
  <r>
    <x v="8"/>
    <x v="1"/>
    <x v="8"/>
    <x v="2"/>
    <x v="256"/>
    <n v="5500"/>
    <n v="-469.40999999999985"/>
    <n v="-8.5347272727272702E-2"/>
    <s v="Favorable"/>
  </r>
  <r>
    <x v="8"/>
    <x v="2"/>
    <x v="9"/>
    <x v="4"/>
    <x v="257"/>
    <n v="48000"/>
    <n v="11007.410000000003"/>
    <n v="0.229321041666667"/>
    <s v="Unfavorable"/>
  </r>
  <r>
    <x v="8"/>
    <x v="2"/>
    <x v="10"/>
    <x v="0"/>
    <x v="258"/>
    <n v="65000"/>
    <n v="-610.4800000000032"/>
    <n v="-9.3920000000000496E-3"/>
    <s v="Favorable"/>
  </r>
  <r>
    <x v="8"/>
    <x v="2"/>
    <x v="11"/>
    <x v="4"/>
    <x v="259"/>
    <n v="35000"/>
    <n v="606.55999999999767"/>
    <n v="1.73302857142856E-2"/>
    <s v="Unfavorable"/>
  </r>
  <r>
    <x v="8"/>
    <x v="2"/>
    <x v="12"/>
    <x v="0"/>
    <x v="260"/>
    <n v="21000"/>
    <n v="6996.59"/>
    <n v="0.33317095238095201"/>
    <s v="Unfavorable"/>
  </r>
  <r>
    <x v="8"/>
    <x v="2"/>
    <x v="13"/>
    <x v="4"/>
    <x v="261"/>
    <n v="8500"/>
    <n v="322.3799999999992"/>
    <n v="3.79270588235293E-2"/>
    <s v="Unfavorable"/>
  </r>
  <r>
    <x v="8"/>
    <x v="2"/>
    <x v="14"/>
    <x v="4"/>
    <x v="262"/>
    <n v="10000"/>
    <n v="-7156.57"/>
    <n v="-0.71565699999999999"/>
    <s v="Favorable"/>
  </r>
  <r>
    <x v="8"/>
    <x v="2"/>
    <x v="15"/>
    <x v="0"/>
    <x v="263"/>
    <n v="4500"/>
    <n v="-308.02999999999975"/>
    <n v="-6.8451111111111101E-2"/>
    <s v="Favorable"/>
  </r>
  <r>
    <x v="8"/>
    <x v="3"/>
    <x v="16"/>
    <x v="5"/>
    <x v="264"/>
    <n v="105000"/>
    <n v="-8731.7700000000041"/>
    <n v="-8.3159714285714295E-2"/>
    <s v="Favorable"/>
  </r>
  <r>
    <x v="8"/>
    <x v="3"/>
    <x v="17"/>
    <x v="6"/>
    <x v="265"/>
    <n v="40000"/>
    <n v="325.66000000000349"/>
    <n v="8.1415000000000896E-3"/>
    <s v="Unfavorable"/>
  </r>
  <r>
    <x v="8"/>
    <x v="3"/>
    <x v="18"/>
    <x v="5"/>
    <x v="266"/>
    <n v="12000"/>
    <n v="268.03000000000065"/>
    <n v="2.2335833333333398E-2"/>
    <s v="Unfavorable"/>
  </r>
  <r>
    <x v="8"/>
    <x v="3"/>
    <x v="19"/>
    <x v="5"/>
    <x v="267"/>
    <n v="8500"/>
    <n v="669.36000000000058"/>
    <n v="7.8748235294117702E-2"/>
    <s v="Unfavorable"/>
  </r>
  <r>
    <x v="8"/>
    <x v="3"/>
    <x v="20"/>
    <x v="5"/>
    <x v="268"/>
    <n v="6500"/>
    <n v="200.17000000000007"/>
    <n v="3.0795384615384599E-2"/>
    <s v="Unfavorable"/>
  </r>
  <r>
    <x v="8"/>
    <x v="4"/>
    <x v="21"/>
    <x v="7"/>
    <x v="269"/>
    <n v="55000"/>
    <n v="-541.38999999999942"/>
    <n v="-9.8434545454545407E-3"/>
    <s v="Favorable"/>
  </r>
  <r>
    <x v="8"/>
    <x v="4"/>
    <x v="22"/>
    <x v="3"/>
    <x v="270"/>
    <n v="25000"/>
    <n v="317.09999999999854"/>
    <n v="1.26839999999999E-2"/>
    <s v="Unfavorable"/>
  </r>
  <r>
    <x v="8"/>
    <x v="4"/>
    <x v="23"/>
    <x v="2"/>
    <x v="271"/>
    <n v="30000"/>
    <n v="-240.75"/>
    <n v="-8.0249999999999991E-3"/>
    <s v="Favorable"/>
  </r>
  <r>
    <x v="8"/>
    <x v="4"/>
    <x v="24"/>
    <x v="2"/>
    <x v="272"/>
    <n v="18000"/>
    <n v="117.63999999999942"/>
    <n v="6.5355555555555202E-3"/>
    <s v="Unfavorable"/>
  </r>
  <r>
    <x v="8"/>
    <x v="4"/>
    <x v="25"/>
    <x v="3"/>
    <x v="273"/>
    <n v="8500"/>
    <n v="2925.1900000000005"/>
    <n v="0.34414"/>
    <s v="Unfavorable"/>
  </r>
  <r>
    <x v="8"/>
    <x v="4"/>
    <x v="26"/>
    <x v="3"/>
    <x v="274"/>
    <n v="7500"/>
    <n v="-274.27999999999975"/>
    <n v="-3.6570666666666599E-2"/>
    <s v="Favorable"/>
  </r>
  <r>
    <x v="8"/>
    <x v="4"/>
    <x v="27"/>
    <x v="2"/>
    <x v="275"/>
    <n v="12000"/>
    <n v="-2205.6000000000004"/>
    <n v="-0.18379999999999999"/>
    <s v="Favorable"/>
  </r>
  <r>
    <x v="8"/>
    <x v="4"/>
    <x v="28"/>
    <x v="3"/>
    <x v="276"/>
    <n v="4500"/>
    <n v="-70.729999999999563"/>
    <n v="-1.5717777777777699E-2"/>
    <s v="Favorable"/>
  </r>
  <r>
    <x v="8"/>
    <x v="4"/>
    <x v="29"/>
    <x v="2"/>
    <x v="277"/>
    <n v="6000"/>
    <n v="127.73999999999978"/>
    <n v="2.129E-2"/>
    <s v="Unfavorable"/>
  </r>
  <r>
    <x v="8"/>
    <x v="4"/>
    <x v="30"/>
    <x v="2"/>
    <x v="278"/>
    <n v="2500"/>
    <n v="-227.65000000000009"/>
    <n v="-9.1060000000000002E-2"/>
    <s v="Favorable"/>
  </r>
  <r>
    <x v="9"/>
    <x v="0"/>
    <x v="0"/>
    <x v="0"/>
    <x v="279"/>
    <n v="43000"/>
    <n v="10656.650000000001"/>
    <n v="0.24782906976744201"/>
    <s v="Favorable"/>
  </r>
  <r>
    <x v="9"/>
    <x v="0"/>
    <x v="1"/>
    <x v="0"/>
    <x v="280"/>
    <n v="82000"/>
    <n v="20482.649999999994"/>
    <n v="0.249788414634146"/>
    <s v="Favorable"/>
  </r>
  <r>
    <x v="9"/>
    <x v="0"/>
    <x v="2"/>
    <x v="0"/>
    <x v="281"/>
    <n v="115000"/>
    <n v="22402.940000000002"/>
    <n v="0.194808173913044"/>
    <s v="Favorable"/>
  </r>
  <r>
    <x v="9"/>
    <x v="0"/>
    <x v="3"/>
    <x v="1"/>
    <x v="282"/>
    <n v="24000"/>
    <n v="7084.0099999999984"/>
    <n v="0.29516708333333302"/>
    <s v="Favorable"/>
  </r>
  <r>
    <x v="9"/>
    <x v="0"/>
    <x v="4"/>
    <x v="1"/>
    <x v="283"/>
    <n v="7500"/>
    <n v="603.19999999999982"/>
    <n v="8.0426666666666605E-2"/>
    <s v="Favorable"/>
  </r>
  <r>
    <x v="9"/>
    <x v="1"/>
    <x v="5"/>
    <x v="2"/>
    <x v="284"/>
    <n v="30000"/>
    <n v="2311.25"/>
    <n v="7.7041666666666606E-2"/>
    <s v="Unfavorable"/>
  </r>
  <r>
    <x v="9"/>
    <x v="1"/>
    <x v="6"/>
    <x v="1"/>
    <x v="285"/>
    <n v="28000"/>
    <n v="453.97999999999956"/>
    <n v="1.62135714285714E-2"/>
    <s v="Unfavorable"/>
  </r>
  <r>
    <x v="9"/>
    <x v="1"/>
    <x v="7"/>
    <x v="3"/>
    <x v="286"/>
    <n v="7800"/>
    <n v="2183.1100000000006"/>
    <n v="0.27988589743589798"/>
    <s v="Unfavorable"/>
  </r>
  <r>
    <x v="9"/>
    <x v="1"/>
    <x v="8"/>
    <x v="2"/>
    <x v="287"/>
    <n v="5500"/>
    <n v="-448.47000000000025"/>
    <n v="-8.1540000000000001E-2"/>
    <s v="Favorable"/>
  </r>
  <r>
    <x v="9"/>
    <x v="2"/>
    <x v="9"/>
    <x v="4"/>
    <x v="288"/>
    <n v="48000"/>
    <n v="-3343.9100000000035"/>
    <n v="-6.9664791666666698E-2"/>
    <s v="Favorable"/>
  </r>
  <r>
    <x v="9"/>
    <x v="2"/>
    <x v="10"/>
    <x v="0"/>
    <x v="289"/>
    <n v="65000"/>
    <n v="-580.62999999999738"/>
    <n v="-8.9327692307691903E-3"/>
    <s v="Favorable"/>
  </r>
  <r>
    <x v="9"/>
    <x v="2"/>
    <x v="11"/>
    <x v="4"/>
    <x v="290"/>
    <n v="35000"/>
    <n v="-695.04000000000087"/>
    <n v="-1.98582857142857E-2"/>
    <s v="Favorable"/>
  </r>
  <r>
    <x v="9"/>
    <x v="2"/>
    <x v="12"/>
    <x v="0"/>
    <x v="291"/>
    <n v="21000"/>
    <n v="7061.7099999999991"/>
    <n v="0.33627190476190499"/>
    <s v="Unfavorable"/>
  </r>
  <r>
    <x v="9"/>
    <x v="2"/>
    <x v="13"/>
    <x v="4"/>
    <x v="292"/>
    <n v="8500"/>
    <n v="116.54999999999927"/>
    <n v="1.37117647058823E-2"/>
    <s v="Unfavorable"/>
  </r>
  <r>
    <x v="9"/>
    <x v="2"/>
    <x v="14"/>
    <x v="4"/>
    <x v="293"/>
    <n v="10000"/>
    <n v="86.5"/>
    <n v="8.6499999999999997E-3"/>
    <s v="Unfavorable"/>
  </r>
  <r>
    <x v="9"/>
    <x v="2"/>
    <x v="15"/>
    <x v="0"/>
    <x v="294"/>
    <n v="4500"/>
    <n v="217.10999999999967"/>
    <n v="4.8246666666666597E-2"/>
    <s v="Unfavorable"/>
  </r>
  <r>
    <x v="9"/>
    <x v="3"/>
    <x v="16"/>
    <x v="5"/>
    <x v="295"/>
    <n v="105000"/>
    <n v="-9803.61"/>
    <n v="-9.3367714285714304E-2"/>
    <s v="Favorable"/>
  </r>
  <r>
    <x v="9"/>
    <x v="3"/>
    <x v="17"/>
    <x v="6"/>
    <x v="296"/>
    <n v="40000"/>
    <n v="-115.69999999999709"/>
    <n v="-2.8924999999999298E-3"/>
    <s v="Favorable"/>
  </r>
  <r>
    <x v="9"/>
    <x v="3"/>
    <x v="18"/>
    <x v="5"/>
    <x v="297"/>
    <n v="12000"/>
    <n v="-1176.7900000000009"/>
    <n v="-9.8065833333333394E-2"/>
    <s v="Favorable"/>
  </r>
  <r>
    <x v="9"/>
    <x v="3"/>
    <x v="19"/>
    <x v="5"/>
    <x v="298"/>
    <n v="8500"/>
    <n v="-1519.4099999999999"/>
    <n v="-0.17875411764705901"/>
    <s v="Favorable"/>
  </r>
  <r>
    <x v="9"/>
    <x v="3"/>
    <x v="20"/>
    <x v="5"/>
    <x v="299"/>
    <n v="6500"/>
    <n v="498.03999999999996"/>
    <n v="7.6621538461538394E-2"/>
    <s v="Unfavorable"/>
  </r>
  <r>
    <x v="9"/>
    <x v="4"/>
    <x v="21"/>
    <x v="7"/>
    <x v="300"/>
    <n v="55000"/>
    <n v="444.31999999999971"/>
    <n v="8.0785454545454494E-3"/>
    <s v="Unfavorable"/>
  </r>
  <r>
    <x v="9"/>
    <x v="4"/>
    <x v="22"/>
    <x v="3"/>
    <x v="301"/>
    <n v="25000"/>
    <n v="45.590000000000146"/>
    <n v="1.8236000000000101E-3"/>
    <s v="Unfavorable"/>
  </r>
  <r>
    <x v="9"/>
    <x v="4"/>
    <x v="23"/>
    <x v="2"/>
    <x v="302"/>
    <n v="30000"/>
    <n v="401.5099999999984"/>
    <n v="1.3383666666666599E-2"/>
    <s v="Unfavorable"/>
  </r>
  <r>
    <x v="9"/>
    <x v="4"/>
    <x v="24"/>
    <x v="2"/>
    <x v="303"/>
    <n v="18000"/>
    <n v="59.409999999999854"/>
    <n v="3.3005555555555501E-3"/>
    <s v="Unfavorable"/>
  </r>
  <r>
    <x v="9"/>
    <x v="4"/>
    <x v="25"/>
    <x v="3"/>
    <x v="304"/>
    <n v="8500"/>
    <n v="-633.57999999999993"/>
    <n v="-7.4538823529411796E-2"/>
    <s v="Favorable"/>
  </r>
  <r>
    <x v="9"/>
    <x v="4"/>
    <x v="26"/>
    <x v="3"/>
    <x v="305"/>
    <n v="7500"/>
    <n v="-279.42000000000007"/>
    <n v="-3.7255999999999997E-2"/>
    <s v="Favorable"/>
  </r>
  <r>
    <x v="9"/>
    <x v="4"/>
    <x v="27"/>
    <x v="2"/>
    <x v="306"/>
    <n v="12000"/>
    <n v="-1463.2099999999991"/>
    <n v="-0.121934166666667"/>
    <s v="Favorable"/>
  </r>
  <r>
    <x v="9"/>
    <x v="4"/>
    <x v="28"/>
    <x v="3"/>
    <x v="307"/>
    <n v="4500"/>
    <n v="71.819999999999709"/>
    <n v="1.5959999999999901E-2"/>
    <s v="Unfavorable"/>
  </r>
  <r>
    <x v="9"/>
    <x v="4"/>
    <x v="29"/>
    <x v="2"/>
    <x v="308"/>
    <n v="6000"/>
    <n v="710.6899999999996"/>
    <n v="0.118448333333333"/>
    <s v="Unfavorable"/>
  </r>
  <r>
    <x v="9"/>
    <x v="4"/>
    <x v="30"/>
    <x v="2"/>
    <x v="309"/>
    <n v="2500"/>
    <n v="360.69999999999982"/>
    <n v="0.14427999999999999"/>
    <s v="Unfavorable"/>
  </r>
  <r>
    <x v="10"/>
    <x v="0"/>
    <x v="0"/>
    <x v="0"/>
    <x v="310"/>
    <n v="43000"/>
    <n v="21577.32"/>
    <n v="0.50179813953488395"/>
    <s v="Favorable"/>
  </r>
  <r>
    <x v="10"/>
    <x v="0"/>
    <x v="1"/>
    <x v="0"/>
    <x v="311"/>
    <n v="82000"/>
    <n v="31899.199999999997"/>
    <n v="0.38901463414634102"/>
    <s v="Favorable"/>
  </r>
  <r>
    <x v="10"/>
    <x v="0"/>
    <x v="2"/>
    <x v="0"/>
    <x v="312"/>
    <n v="115000"/>
    <n v="46452.209999999992"/>
    <n v="0.40393226086956502"/>
    <s v="Favorable"/>
  </r>
  <r>
    <x v="10"/>
    <x v="0"/>
    <x v="3"/>
    <x v="1"/>
    <x v="313"/>
    <n v="24000"/>
    <n v="1233.5200000000004"/>
    <n v="5.1396666666666702E-2"/>
    <s v="Favorable"/>
  </r>
  <r>
    <x v="10"/>
    <x v="0"/>
    <x v="4"/>
    <x v="1"/>
    <x v="314"/>
    <n v="7500"/>
    <n v="3713.4699999999993"/>
    <n v="0.49512933333333298"/>
    <s v="Favorable"/>
  </r>
  <r>
    <x v="10"/>
    <x v="1"/>
    <x v="5"/>
    <x v="2"/>
    <x v="315"/>
    <n v="30000"/>
    <n v="20631.580000000002"/>
    <n v="0.68771933333333302"/>
    <s v="Unfavorable"/>
  </r>
  <r>
    <x v="10"/>
    <x v="1"/>
    <x v="6"/>
    <x v="1"/>
    <x v="316"/>
    <n v="28000"/>
    <n v="-104.86000000000058"/>
    <n v="-3.74500000000002E-3"/>
    <s v="Favorable"/>
  </r>
  <r>
    <x v="10"/>
    <x v="1"/>
    <x v="7"/>
    <x v="3"/>
    <x v="317"/>
    <n v="7800"/>
    <n v="3246.6000000000004"/>
    <n v="0.41623076923076902"/>
    <s v="Unfavorable"/>
  </r>
  <r>
    <x v="10"/>
    <x v="1"/>
    <x v="8"/>
    <x v="2"/>
    <x v="318"/>
    <n v="5500"/>
    <n v="-379.98999999999978"/>
    <n v="-6.9089090909090906E-2"/>
    <s v="Favorable"/>
  </r>
  <r>
    <x v="10"/>
    <x v="2"/>
    <x v="9"/>
    <x v="4"/>
    <x v="319"/>
    <n v="48000"/>
    <n v="-1065.5400000000009"/>
    <n v="-2.219875E-2"/>
    <s v="Favorable"/>
  </r>
  <r>
    <x v="10"/>
    <x v="2"/>
    <x v="10"/>
    <x v="0"/>
    <x v="320"/>
    <n v="65000"/>
    <n v="947.97000000000116"/>
    <n v="1.4584153846153899E-2"/>
    <s v="Unfavorable"/>
  </r>
  <r>
    <x v="10"/>
    <x v="2"/>
    <x v="11"/>
    <x v="4"/>
    <x v="321"/>
    <n v="35000"/>
    <n v="666.69000000000233"/>
    <n v="1.9048285714285799E-2"/>
    <s v="Unfavorable"/>
  </r>
  <r>
    <x v="10"/>
    <x v="2"/>
    <x v="12"/>
    <x v="0"/>
    <x v="322"/>
    <n v="21000"/>
    <n v="10981.529999999999"/>
    <n v="0.52293000000000001"/>
    <s v="Unfavorable"/>
  </r>
  <r>
    <x v="10"/>
    <x v="2"/>
    <x v="13"/>
    <x v="4"/>
    <x v="323"/>
    <n v="8500"/>
    <n v="324.20000000000073"/>
    <n v="3.8141176470588303E-2"/>
    <s v="Unfavorable"/>
  </r>
  <r>
    <x v="10"/>
    <x v="2"/>
    <x v="14"/>
    <x v="4"/>
    <x v="324"/>
    <n v="10000"/>
    <n v="-7570.26"/>
    <n v="-0.75702599999999998"/>
    <s v="Favorable"/>
  </r>
  <r>
    <x v="10"/>
    <x v="2"/>
    <x v="15"/>
    <x v="0"/>
    <x v="325"/>
    <n v="4500"/>
    <n v="212.90999999999985"/>
    <n v="4.7313333333333298E-2"/>
    <s v="Unfavorable"/>
  </r>
  <r>
    <x v="10"/>
    <x v="3"/>
    <x v="16"/>
    <x v="5"/>
    <x v="326"/>
    <n v="105000"/>
    <n v="-10637.699999999997"/>
    <n v="-0.101311428571429"/>
    <s v="Favorable"/>
  </r>
  <r>
    <x v="10"/>
    <x v="3"/>
    <x v="17"/>
    <x v="6"/>
    <x v="327"/>
    <n v="40000"/>
    <n v="689.30999999999767"/>
    <n v="1.7232749999999901E-2"/>
    <s v="Unfavorable"/>
  </r>
  <r>
    <x v="10"/>
    <x v="3"/>
    <x v="18"/>
    <x v="5"/>
    <x v="328"/>
    <n v="12000"/>
    <n v="725.36000000000058"/>
    <n v="6.0446666666666697E-2"/>
    <s v="Unfavorable"/>
  </r>
  <r>
    <x v="10"/>
    <x v="3"/>
    <x v="19"/>
    <x v="5"/>
    <x v="329"/>
    <n v="8500"/>
    <n v="373.75"/>
    <n v="4.3970588235294102E-2"/>
    <s v="Unfavorable"/>
  </r>
  <r>
    <x v="10"/>
    <x v="3"/>
    <x v="20"/>
    <x v="5"/>
    <x v="330"/>
    <n v="6500"/>
    <n v="403.97000000000025"/>
    <n v="6.2149230769230797E-2"/>
    <s v="Unfavorable"/>
  </r>
  <r>
    <x v="10"/>
    <x v="4"/>
    <x v="21"/>
    <x v="7"/>
    <x v="331"/>
    <n v="55000"/>
    <n v="-256.51000000000204"/>
    <n v="-4.6638181818182203E-3"/>
    <s v="Favorable"/>
  </r>
  <r>
    <x v="10"/>
    <x v="4"/>
    <x v="22"/>
    <x v="3"/>
    <x v="332"/>
    <n v="25000"/>
    <n v="287.36999999999898"/>
    <n v="1.1494799999999999E-2"/>
    <s v="Unfavorable"/>
  </r>
  <r>
    <x v="10"/>
    <x v="4"/>
    <x v="23"/>
    <x v="2"/>
    <x v="333"/>
    <n v="30000"/>
    <n v="-470.29000000000087"/>
    <n v="-1.56763333333334E-2"/>
    <s v="Favorable"/>
  </r>
  <r>
    <x v="10"/>
    <x v="4"/>
    <x v="24"/>
    <x v="2"/>
    <x v="334"/>
    <n v="18000"/>
    <n v="267.95999999999913"/>
    <n v="1.48866666666666E-2"/>
    <s v="Unfavorable"/>
  </r>
  <r>
    <x v="10"/>
    <x v="4"/>
    <x v="25"/>
    <x v="3"/>
    <x v="335"/>
    <n v="8500"/>
    <n v="2563.67"/>
    <n v="0.30160823529411801"/>
    <s v="Unfavorable"/>
  </r>
  <r>
    <x v="10"/>
    <x v="4"/>
    <x v="26"/>
    <x v="3"/>
    <x v="336"/>
    <n v="7500"/>
    <n v="-208.17000000000007"/>
    <n v="-2.7755999999999999E-2"/>
    <s v="Favorable"/>
  </r>
  <r>
    <x v="10"/>
    <x v="4"/>
    <x v="27"/>
    <x v="2"/>
    <x v="337"/>
    <n v="12000"/>
    <n v="493.86000000000058"/>
    <n v="4.1154999999999997E-2"/>
    <s v="Unfavorable"/>
  </r>
  <r>
    <x v="10"/>
    <x v="4"/>
    <x v="28"/>
    <x v="3"/>
    <x v="338"/>
    <n v="4500"/>
    <n v="-7.1499999999996362"/>
    <n v="-1.5888888888888101E-3"/>
    <s v="Favorable"/>
  </r>
  <r>
    <x v="10"/>
    <x v="4"/>
    <x v="29"/>
    <x v="2"/>
    <x v="339"/>
    <n v="6000"/>
    <n v="-467.53999999999996"/>
    <n v="-7.7923333333333303E-2"/>
    <s v="Favorable"/>
  </r>
  <r>
    <x v="10"/>
    <x v="4"/>
    <x v="30"/>
    <x v="2"/>
    <x v="340"/>
    <n v="2500"/>
    <n v="295.34999999999991"/>
    <n v="0.11814"/>
    <s v="Unfavorable"/>
  </r>
  <r>
    <x v="11"/>
    <x v="0"/>
    <x v="0"/>
    <x v="0"/>
    <x v="341"/>
    <n v="43000"/>
    <n v="18415.169999999998"/>
    <n v="0.42825976744186001"/>
    <s v="Favorable"/>
  </r>
  <r>
    <x v="11"/>
    <x v="0"/>
    <x v="1"/>
    <x v="0"/>
    <x v="342"/>
    <n v="82000"/>
    <n v="31574.460000000006"/>
    <n v="0.38505439024390298"/>
    <s v="Favorable"/>
  </r>
  <r>
    <x v="11"/>
    <x v="0"/>
    <x v="2"/>
    <x v="0"/>
    <x v="343"/>
    <n v="115000"/>
    <n v="48193.53"/>
    <n v="0.41907417391304302"/>
    <s v="Favorable"/>
  </r>
  <r>
    <x v="11"/>
    <x v="0"/>
    <x v="3"/>
    <x v="1"/>
    <x v="344"/>
    <n v="24000"/>
    <n v="4404.7999999999993"/>
    <n v="0.18353333333333299"/>
    <s v="Favorable"/>
  </r>
  <r>
    <x v="11"/>
    <x v="0"/>
    <x v="4"/>
    <x v="1"/>
    <x v="345"/>
    <n v="7500"/>
    <n v="4393.6499999999996"/>
    <n v="0.58582000000000001"/>
    <s v="Favorable"/>
  </r>
  <r>
    <x v="11"/>
    <x v="1"/>
    <x v="5"/>
    <x v="2"/>
    <x v="346"/>
    <n v="30000"/>
    <n v="21854.510000000002"/>
    <n v="0.72848366666666697"/>
    <s v="Unfavorable"/>
  </r>
  <r>
    <x v="11"/>
    <x v="1"/>
    <x v="6"/>
    <x v="1"/>
    <x v="347"/>
    <n v="28000"/>
    <n v="-247.38000000000102"/>
    <n v="-8.8350000000000407E-3"/>
    <s v="Favorable"/>
  </r>
  <r>
    <x v="11"/>
    <x v="1"/>
    <x v="7"/>
    <x v="3"/>
    <x v="348"/>
    <n v="7800"/>
    <n v="3331.26"/>
    <n v="0.42708461538461501"/>
    <s v="Unfavorable"/>
  </r>
  <r>
    <x v="11"/>
    <x v="1"/>
    <x v="8"/>
    <x v="2"/>
    <x v="349"/>
    <n v="5500"/>
    <n v="-110.35000000000036"/>
    <n v="-2.0063636363636402E-2"/>
    <s v="Favorable"/>
  </r>
  <r>
    <x v="11"/>
    <x v="2"/>
    <x v="9"/>
    <x v="4"/>
    <x v="350"/>
    <n v="48000"/>
    <n v="-834.83000000000175"/>
    <n v="-1.7392291666666702E-2"/>
    <s v="Favorable"/>
  </r>
  <r>
    <x v="11"/>
    <x v="2"/>
    <x v="10"/>
    <x v="0"/>
    <x v="351"/>
    <n v="65000"/>
    <n v="94.160000000003492"/>
    <n v="1.4486153846154401E-3"/>
    <s v="Unfavorable"/>
  </r>
  <r>
    <x v="11"/>
    <x v="2"/>
    <x v="11"/>
    <x v="4"/>
    <x v="352"/>
    <n v="35000"/>
    <n v="614.93000000000029"/>
    <n v="1.75694285714286E-2"/>
    <s v="Unfavorable"/>
  </r>
  <r>
    <x v="11"/>
    <x v="2"/>
    <x v="12"/>
    <x v="0"/>
    <x v="353"/>
    <n v="21000"/>
    <n v="6949.1500000000015"/>
    <n v="0.33091190476190502"/>
    <s v="Unfavorable"/>
  </r>
  <r>
    <x v="11"/>
    <x v="2"/>
    <x v="13"/>
    <x v="4"/>
    <x v="354"/>
    <n v="8500"/>
    <n v="399.84000000000015"/>
    <n v="4.7039999999999998E-2"/>
    <s v="Unfavorable"/>
  </r>
  <r>
    <x v="11"/>
    <x v="2"/>
    <x v="14"/>
    <x v="4"/>
    <x v="355"/>
    <n v="10000"/>
    <n v="-7385.7199999999993"/>
    <n v="-0.73857200000000001"/>
    <s v="Favorable"/>
  </r>
  <r>
    <x v="11"/>
    <x v="2"/>
    <x v="15"/>
    <x v="0"/>
    <x v="356"/>
    <n v="4500"/>
    <n v="416.27999999999975"/>
    <n v="9.2506666666666598E-2"/>
    <s v="Unfavorable"/>
  </r>
  <r>
    <x v="11"/>
    <x v="3"/>
    <x v="16"/>
    <x v="5"/>
    <x v="357"/>
    <n v="105000"/>
    <n v="-10891.229999999996"/>
    <n v="-0.103726"/>
    <s v="Favorable"/>
  </r>
  <r>
    <x v="11"/>
    <x v="3"/>
    <x v="17"/>
    <x v="6"/>
    <x v="358"/>
    <n v="40000"/>
    <n v="-626.55999999999767"/>
    <n v="-1.56639999999999E-2"/>
    <s v="Favorable"/>
  </r>
  <r>
    <x v="11"/>
    <x v="3"/>
    <x v="18"/>
    <x v="5"/>
    <x v="359"/>
    <n v="12000"/>
    <n v="-157.04999999999927"/>
    <n v="-1.30874999999999E-2"/>
    <s v="Favorable"/>
  </r>
  <r>
    <x v="11"/>
    <x v="3"/>
    <x v="19"/>
    <x v="5"/>
    <x v="360"/>
    <n v="8500"/>
    <n v="48.510000000000218"/>
    <n v="5.7070588235294401E-3"/>
    <s v="Unfavorable"/>
  </r>
  <r>
    <x v="11"/>
    <x v="3"/>
    <x v="20"/>
    <x v="5"/>
    <x v="361"/>
    <n v="6500"/>
    <n v="-242.22000000000025"/>
    <n v="-3.7264615384615403E-2"/>
    <s v="Favorable"/>
  </r>
  <r>
    <x v="11"/>
    <x v="4"/>
    <x v="21"/>
    <x v="7"/>
    <x v="362"/>
    <n v="55000"/>
    <n v="116.83000000000175"/>
    <n v="2.1241818181818501E-3"/>
    <s v="Unfavorable"/>
  </r>
  <r>
    <x v="11"/>
    <x v="4"/>
    <x v="22"/>
    <x v="3"/>
    <x v="363"/>
    <n v="25000"/>
    <n v="11.419999999998254"/>
    <n v="4.5679999999993001E-4"/>
    <s v="Unfavorable"/>
  </r>
  <r>
    <x v="11"/>
    <x v="4"/>
    <x v="23"/>
    <x v="2"/>
    <x v="364"/>
    <n v="30000"/>
    <n v="-137.77000000000044"/>
    <n v="-4.5923333333333502E-3"/>
    <s v="Favorable"/>
  </r>
  <r>
    <x v="11"/>
    <x v="4"/>
    <x v="24"/>
    <x v="2"/>
    <x v="365"/>
    <n v="18000"/>
    <n v="55.139999999999418"/>
    <n v="3.0633333333332999E-3"/>
    <s v="Unfavorable"/>
  </r>
  <r>
    <x v="11"/>
    <x v="4"/>
    <x v="25"/>
    <x v="3"/>
    <x v="366"/>
    <n v="8500"/>
    <n v="-153.75"/>
    <n v="-1.8088235294117599E-2"/>
    <s v="Favorable"/>
  </r>
  <r>
    <x v="11"/>
    <x v="4"/>
    <x v="26"/>
    <x v="3"/>
    <x v="367"/>
    <n v="7500"/>
    <n v="156.59000000000015"/>
    <n v="2.0878666666666702E-2"/>
    <s v="Unfavorable"/>
  </r>
  <r>
    <x v="11"/>
    <x v="4"/>
    <x v="27"/>
    <x v="2"/>
    <x v="368"/>
    <n v="12000"/>
    <n v="-2643.49"/>
    <n v="-0.22029083333333299"/>
    <s v="Favorable"/>
  </r>
  <r>
    <x v="11"/>
    <x v="4"/>
    <x v="28"/>
    <x v="3"/>
    <x v="369"/>
    <n v="4500"/>
    <n v="76.600000000000364"/>
    <n v="1.70222222222223E-2"/>
    <s v="Unfavorable"/>
  </r>
  <r>
    <x v="11"/>
    <x v="4"/>
    <x v="29"/>
    <x v="2"/>
    <x v="370"/>
    <n v="6000"/>
    <n v="92.279999999999745"/>
    <n v="1.538E-2"/>
    <s v="Unfavorable"/>
  </r>
  <r>
    <x v="11"/>
    <x v="4"/>
    <x v="30"/>
    <x v="2"/>
    <x v="371"/>
    <n v="2500"/>
    <n v="219.42999999999984"/>
    <n v="8.7771999999999906E-2"/>
    <s v="Unfavor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7F221-8257-42CD-8160-ABF926ADBF9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31:C34" firstHeaderRow="1" firstDataRow="1" firstDataCol="1"/>
  <pivotFields count="11">
    <pivotField numFmtId="14" showAll="0">
      <items count="13">
        <item x="0"/>
        <item x="1"/>
        <item x="2"/>
        <item x="3"/>
        <item x="4"/>
        <item x="5"/>
        <item x="6"/>
        <item x="7"/>
        <item x="8"/>
        <item x="9"/>
        <item x="10"/>
        <item x="11"/>
        <item t="default"/>
      </items>
    </pivotField>
    <pivotField showAll="0">
      <items count="6">
        <item h="1" x="1"/>
        <item h="1" x="4"/>
        <item h="1" x="3"/>
        <item x="0"/>
        <item h="1" x="2"/>
        <item t="default"/>
      </items>
    </pivotField>
    <pivotField showAll="0"/>
    <pivotField axis="axisRow" showAll="0" sortType="descending">
      <items count="9">
        <item x="1"/>
        <item x="5"/>
        <item x="7"/>
        <item x="3"/>
        <item x="4"/>
        <item x="2"/>
        <item x="6"/>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164" showAll="0"/>
    <pivotField numFmtId="9"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v="7"/>
    </i>
    <i>
      <x/>
    </i>
    <i t="grand">
      <x/>
    </i>
  </rowItems>
  <colItems count="1">
    <i/>
  </colItems>
  <dataFields count="1">
    <dataField name="Variance Dollar" fld="6" baseField="3" baseItem="7" numFmtId="164"/>
  </dataFields>
  <chartFormats count="2">
    <chartFormat chart="3" format="10"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961E82-7005-48F9-A037-7087D335E01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B14:D27" firstHeaderRow="0" firstDataRow="1" firstDataCol="1"/>
  <pivotFields count="11">
    <pivotField numFmtId="14" showAll="0">
      <items count="13">
        <item x="0"/>
        <item x="1"/>
        <item x="2"/>
        <item x="3"/>
        <item x="4"/>
        <item x="5"/>
        <item x="6"/>
        <item x="7"/>
        <item x="8"/>
        <item x="9"/>
        <item x="10"/>
        <item x="11"/>
        <item t="default"/>
      </items>
    </pivotField>
    <pivotField showAll="0">
      <items count="6">
        <item h="1" x="1"/>
        <item h="1" x="4"/>
        <item h="1" x="3"/>
        <item x="0"/>
        <item h="1" x="2"/>
        <item t="default"/>
      </items>
    </pivotField>
    <pivotField showAll="0"/>
    <pivotField showAll="0">
      <items count="9">
        <item x="1"/>
        <item x="5"/>
        <item x="7"/>
        <item x="3"/>
        <item x="4"/>
        <item x="2"/>
        <item x="6"/>
        <item x="0"/>
        <item t="default"/>
      </items>
    </pivotField>
    <pivotField dataField="1" numFmtId="164" showAll="0"/>
    <pivotField dataField="1" numFmtId="164" showAll="0"/>
    <pivotField numFmtId="164" showAll="0"/>
    <pivotField numFmtId="9"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Budget Amount" fld="5" baseField="10" baseItem="1" numFmtId="164"/>
    <dataField name="Actual Amount" fld="4" baseField="10" baseItem="1" numFmtId="164"/>
  </dataFields>
  <chartFormats count="8">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D3703B-B2AD-4714-BE2D-2EE83E4DF79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4:E6" firstHeaderRow="0" firstDataRow="1" firstDataCol="1"/>
  <pivotFields count="11">
    <pivotField numFmtId="14" showAll="0">
      <items count="13">
        <item x="0"/>
        <item x="1"/>
        <item x="2"/>
        <item x="3"/>
        <item x="4"/>
        <item x="5"/>
        <item x="6"/>
        <item x="7"/>
        <item x="8"/>
        <item x="9"/>
        <item x="10"/>
        <item x="11"/>
        <item t="default"/>
      </items>
    </pivotField>
    <pivotField axis="axisRow" showAll="0">
      <items count="6">
        <item h="1" x="1"/>
        <item h="1" x="4"/>
        <item h="1" x="3"/>
        <item x="0"/>
        <item h="1" x="2"/>
        <item t="default"/>
      </items>
    </pivotField>
    <pivotField showAll="0"/>
    <pivotField showAll="0">
      <items count="9">
        <item x="1"/>
        <item x="5"/>
        <item x="7"/>
        <item x="3"/>
        <item x="4"/>
        <item x="2"/>
        <item x="6"/>
        <item x="0"/>
        <item t="default"/>
      </items>
    </pivotField>
    <pivotField dataField="1" numFmtId="164" showAll="0"/>
    <pivotField dataField="1" numFmtId="164" showAll="0"/>
    <pivotField dataField="1" numFmtId="164"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Fields count="1">
    <field x="-2"/>
  </colFields>
  <colItems count="3">
    <i>
      <x/>
    </i>
    <i i="1">
      <x v="1"/>
    </i>
    <i i="2">
      <x v="2"/>
    </i>
  </colItems>
  <dataFields count="3">
    <dataField name="Sum of Budget_Amount" fld="5" baseField="0" baseItem="0" numFmtId="164"/>
    <dataField name="Sum of Actual_Amount" fld="4" baseField="0" baseItem="0" numFmtId="164"/>
    <dataField name="Sum of Variance_Dollar" fld="6" baseField="0" baseItem="0" numFmtId="164"/>
  </dataFields>
  <formats count="1">
    <format dxfId="18">
      <pivotArea outline="0" collapsedLevelsAreSubtotals="1"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F037FD-3A03-4D42-9F2E-C8D0511A722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54:C60" firstHeaderRow="1" firstDataRow="1" firstDataCol="1"/>
  <pivotFields count="11">
    <pivotField numFmtId="14" showAll="0">
      <items count="13">
        <item x="0"/>
        <item x="1"/>
        <item x="2"/>
        <item x="3"/>
        <item x="4"/>
        <item x="5"/>
        <item x="6"/>
        <item x="7"/>
        <item x="8"/>
        <item x="9"/>
        <item x="10"/>
        <item x="11"/>
        <item t="default"/>
      </items>
    </pivotField>
    <pivotField showAll="0">
      <items count="6">
        <item h="1" x="1"/>
        <item h="1" x="4"/>
        <item h="1" x="3"/>
        <item x="0"/>
        <item h="1" x="2"/>
        <item t="default"/>
      </items>
    </pivotField>
    <pivotField axis="axisRow" showAll="0" measureFilter="1" sortType="ascending">
      <items count="32">
        <item x="26"/>
        <item x="20"/>
        <item x="5"/>
        <item x="6"/>
        <item x="18"/>
        <item x="9"/>
        <item x="16"/>
        <item x="14"/>
        <item x="21"/>
        <item x="22"/>
        <item x="27"/>
        <item x="28"/>
        <item x="29"/>
        <item x="25"/>
        <item x="11"/>
        <item x="13"/>
        <item x="24"/>
        <item x="30"/>
        <item x="23"/>
        <item x="7"/>
        <item x="17"/>
        <item x="3"/>
        <item x="19"/>
        <item x="12"/>
        <item x="15"/>
        <item x="10"/>
        <item x="4"/>
        <item x="2"/>
        <item x="1"/>
        <item x="0"/>
        <item x="8"/>
        <item t="default"/>
      </items>
      <autoSortScope>
        <pivotArea dataOnly="0" outline="0" fieldPosition="0">
          <references count="1">
            <reference field="4294967294" count="1" selected="0">
              <x v="0"/>
            </reference>
          </references>
        </pivotArea>
      </autoSortScope>
    </pivotField>
    <pivotField showAll="0">
      <items count="9">
        <item x="1"/>
        <item x="5"/>
        <item x="7"/>
        <item x="3"/>
        <item x="4"/>
        <item x="2"/>
        <item x="6"/>
        <item x="0"/>
        <item t="default"/>
      </items>
    </pivotField>
    <pivotField numFmtId="164" showAll="0"/>
    <pivotField numFmtId="164" showAll="0"/>
    <pivotField dataField="1" numFmtId="164" showAll="0"/>
    <pivotField numFmtId="9"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26"/>
    </i>
    <i>
      <x v="21"/>
    </i>
    <i>
      <x v="29"/>
    </i>
    <i>
      <x v="28"/>
    </i>
    <i>
      <x v="27"/>
    </i>
    <i t="grand">
      <x/>
    </i>
  </rowItems>
  <colItems count="1">
    <i/>
  </colItems>
  <dataFields count="1">
    <dataField name="Sum of Variance_Dollar" fld="6" baseField="0" baseItem="0" numFmtId="164"/>
  </dataFields>
  <chartFormats count="1">
    <chartFormat chart="3" format="5"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filters count="1">
    <filter fld="2"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815B55-9068-4404-8852-F5B61CA7152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B44:C46" firstHeaderRow="1" firstDataRow="1" firstDataCol="1"/>
  <pivotFields count="11">
    <pivotField numFmtId="14" showAll="0">
      <items count="13">
        <item x="0"/>
        <item x="1"/>
        <item x="2"/>
        <item x="3"/>
        <item x="4"/>
        <item x="5"/>
        <item x="6"/>
        <item x="7"/>
        <item x="8"/>
        <item x="9"/>
        <item x="10"/>
        <item x="11"/>
        <item t="default"/>
      </items>
    </pivotField>
    <pivotField axis="axisRow" showAll="0" sortType="descending">
      <items count="6">
        <item h="1" x="1"/>
        <item h="1" x="4"/>
        <item h="1" x="3"/>
        <item x="0"/>
        <item h="1" x="2"/>
        <item t="default"/>
      </items>
      <autoSortScope>
        <pivotArea dataOnly="0" outline="0" fieldPosition="0">
          <references count="1">
            <reference field="4294967294" count="1" selected="0">
              <x v="0"/>
            </reference>
          </references>
        </pivotArea>
      </autoSortScope>
    </pivotField>
    <pivotField showAll="0"/>
    <pivotField showAll="0">
      <items count="9">
        <item x="1"/>
        <item x="5"/>
        <item x="7"/>
        <item x="3"/>
        <item x="4"/>
        <item x="2"/>
        <item x="6"/>
        <item x="0"/>
        <item t="default"/>
      </items>
    </pivotField>
    <pivotField numFmtId="164" showAll="0"/>
    <pivotField numFmtId="164" showAll="0"/>
    <pivotField dataField="1" numFmtId="164" showAll="0"/>
    <pivotField numFmtId="9"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
    <i>
      <x v="3"/>
    </i>
    <i t="grand">
      <x/>
    </i>
  </rowItems>
  <colItems count="1">
    <i/>
  </colItems>
  <dataFields count="1">
    <dataField name="Variance Dollar" fld="6" baseField="1" baseItem="3" numFmtId="164"/>
  </dataFields>
  <chartFormats count="2">
    <chartFormat chart="3" format="22"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1" count="1" selected="0">
            <x v="2"/>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80498506-AEE0-4B85-A5B6-53E0B8B1DA97}" autoFormatId="16" applyNumberFormats="0" applyBorderFormats="0" applyFontFormats="0" applyPatternFormats="0" applyAlignmentFormats="0" applyWidthHeightFormats="0">
  <queryTableRefresh nextId="10">
    <queryTableFields count="9">
      <queryTableField id="1" name="Month" tableColumnId="1"/>
      <queryTableField id="2" name="Category" tableColumnId="2"/>
      <queryTableField id="3" name="Account" tableColumnId="3"/>
      <queryTableField id="4" name="Department" tableColumnId="4"/>
      <queryTableField id="5" name="Actual_Amount" tableColumnId="5"/>
      <queryTableField id="6" name="Budget_Amount" tableColumnId="6"/>
      <queryTableField id="7" name="Variance_Dollar" tableColumnId="7"/>
      <queryTableField id="8" name="Variance_Percent" tableColumnId="8"/>
      <queryTableField id="9" name="Variance_Typ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E7894B0-BD41-422C-8696-3C156073C88F}" autoFormatId="16" applyNumberFormats="0" applyBorderFormats="0" applyFontFormats="0" applyPatternFormats="0" applyAlignmentFormats="0" applyWidthHeightFormats="0">
  <queryTableRefresh nextId="14">
    <queryTableFields count="5">
      <queryTableField id="1" name="Month" tableColumnId="1"/>
      <queryTableField id="10" name="Category" tableColumnId="8"/>
      <queryTableField id="3" name="Account" tableColumnId="3"/>
      <queryTableField id="11" name="Department" tableColumnId="9"/>
      <queryTableField id="5" name="Actual_Amoun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AA5894C2-6F12-4433-9613-AE58FBB88905}" autoFormatId="16" applyNumberFormats="0" applyBorderFormats="0" applyFontFormats="0" applyPatternFormats="0" applyAlignmentFormats="0" applyWidthHeightFormats="0">
  <queryTableRefresh nextId="6">
    <queryTableFields count="5">
      <queryTableField id="1" name="Month" tableColumnId="1"/>
      <queryTableField id="2" name="Category" tableColumnId="2"/>
      <queryTableField id="3" name="Account" tableColumnId="3"/>
      <queryTableField id="4" name="Department" tableColumnId="4"/>
      <queryTableField id="5" name="Budget_Amoun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B416445-71B2-4A94-8B1F-C1D4CF10A1A9}" sourceName="Department">
  <pivotTables>
    <pivotTable tabId="5" name="PivotTable2"/>
    <pivotTable tabId="5" name="PivotTable1"/>
    <pivotTable tabId="5" name="PivotTable3"/>
    <pivotTable tabId="5" name="PivotTable4"/>
    <pivotTable tabId="5" name="PivotTable5"/>
  </pivotTables>
  <data>
    <tabular pivotCacheId="1869490342">
      <items count="8">
        <i x="1" s="1"/>
        <i x="0" s="1"/>
        <i x="5" s="1" nd="1"/>
        <i x="7" s="1" nd="1"/>
        <i x="3" s="1" nd="1"/>
        <i x="4" s="1" nd="1"/>
        <i x="2"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E34210-63AD-4227-AC70-17D80AD38207}" sourceName="Category">
  <pivotTables>
    <pivotTable tabId="5" name="PivotTable4"/>
    <pivotTable tabId="5" name="PivotTable1"/>
    <pivotTable tabId="5" name="PivotTable2"/>
    <pivotTable tabId="5" name="PivotTable3"/>
    <pivotTable tabId="5" name="PivotTable5"/>
  </pivotTables>
  <data>
    <tabular pivotCacheId="1869490342">
      <items count="5">
        <i x="1"/>
        <i x="4"/>
        <i x="3"/>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78FE4B4-9D44-4F1A-B312-D01771B51FE2}" cache="Slicer_Department" caption="Department" style="SlicerStyleLight6" rowHeight="234950"/>
  <slicer name="Category" xr10:uid="{8A3FB0A6-37CC-4636-A993-EC0C571C612C}" cache="Slicer_Category" caption="Category"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A2B0EF-A67E-414A-9206-940314273825}" name="Actual_v_Raw" displayName="Actual_v_Raw" ref="A1:I373" tableType="queryTable" totalsRowShown="0">
  <autoFilter ref="A1:I373" xr:uid="{2FA2B0EF-A67E-414A-9206-940314273825}"/>
  <tableColumns count="9">
    <tableColumn id="1" xr3:uid="{57CCDBB8-CBD4-42DD-B15F-420EA071D350}" uniqueName="1" name="Month" queryTableFieldId="1" dataDxfId="17"/>
    <tableColumn id="2" xr3:uid="{335449A5-9F93-4C73-BCC9-DDF3EBDCF91C}" uniqueName="2" name="Category" queryTableFieldId="2"/>
    <tableColumn id="3" xr3:uid="{E71B14B9-C3A7-4848-99F7-C4488786CBD3}" uniqueName="3" name="Account" queryTableFieldId="3" dataDxfId="16"/>
    <tableColumn id="4" xr3:uid="{A9B61BDD-B2A9-4965-96FD-BE68418AD7F8}" uniqueName="4" name="Department" queryTableFieldId="4"/>
    <tableColumn id="5" xr3:uid="{E8DF4485-475C-4767-A644-3C5A5D20D156}" uniqueName="5" name="Actual_Amount" queryTableFieldId="5" dataDxfId="15"/>
    <tableColumn id="6" xr3:uid="{27ED58E7-1D61-4B32-A08E-38C68654A81C}" uniqueName="6" name="Budget_Amount" queryTableFieldId="6" dataDxfId="14" dataCellStyle="Currency"/>
    <tableColumn id="7" xr3:uid="{5E2787AE-4E38-4DBE-BED4-EE52C464055E}" uniqueName="7" name="Variance_Dollar" queryTableFieldId="7" dataDxfId="13" dataCellStyle="Currency"/>
    <tableColumn id="8" xr3:uid="{A9221B2F-16C1-4FFD-B833-209BF671CE0D}" uniqueName="8" name="Variance_Percent" queryTableFieldId="8" dataCellStyle="Percent"/>
    <tableColumn id="9" xr3:uid="{13682DDD-BD97-4E09-815D-C2B9C3FCE60C}" uniqueName="9" name="Variance_Type"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330EA6-22D2-4FE8-A01A-94C72573F954}" name="Actuals_Raw" displayName="Actuals_Raw" ref="A1:E373" tableType="queryTable" totalsRowShown="0">
  <autoFilter ref="A1:E373" xr:uid="{85330EA6-22D2-4FE8-A01A-94C72573F954}"/>
  <tableColumns count="5">
    <tableColumn id="1" xr3:uid="{F27812E0-B5F5-40AF-ACC1-A42B4793DBF9}" uniqueName="1" name="Month" queryTableFieldId="1" dataDxfId="12"/>
    <tableColumn id="8" xr3:uid="{AB9DD852-037B-48E0-9F12-9011667465A9}" uniqueName="8" name="Category" queryTableFieldId="10"/>
    <tableColumn id="3" xr3:uid="{F9774B2A-36D5-4DBE-9378-DF7CE5853DC4}" uniqueName="3" name="Account" queryTableFieldId="3" dataDxfId="11"/>
    <tableColumn id="9" xr3:uid="{0786E329-FCC7-40C2-A13A-DA9C71035A1B}" uniqueName="9" name="Department" queryTableFieldId="11"/>
    <tableColumn id="5" xr3:uid="{3DC1F0FF-D646-40C9-9D90-269D207E4683}" uniqueName="5" name="Actual_Amount"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5939E8-0D17-4363-A0E3-940ACB77D8C0}" name="Budget_Raw" displayName="Budget_Raw" ref="A1:E373" tableType="queryTable" totalsRowShown="0">
  <autoFilter ref="A1:E373" xr:uid="{0E5939E8-0D17-4363-A0E3-940ACB77D8C0}"/>
  <tableColumns count="5">
    <tableColumn id="1" xr3:uid="{1A6DF7DA-C7F4-4683-93ED-596D526BCB5B}" uniqueName="1" name="Month" queryTableFieldId="1" dataDxfId="10"/>
    <tableColumn id="2" xr3:uid="{E4016914-9E08-4AF5-A232-64BDE80AB083}" uniqueName="2" name="Category" queryTableFieldId="2" dataDxfId="9"/>
    <tableColumn id="3" xr3:uid="{9BEC5599-1937-40B6-B11C-7D2E7006404F}" uniqueName="3" name="Account" queryTableFieldId="3" dataDxfId="8"/>
    <tableColumn id="4" xr3:uid="{14A8D369-AEAB-4AA7-AEF0-BCA5288C5CBA}" uniqueName="4" name="Department" queryTableFieldId="4" dataDxfId="7"/>
    <tableColumn id="5" xr3:uid="{574715A1-BBA2-44C5-84F7-B2FABE02CF54}" uniqueName="5" name="Budget_Amoun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008C741C-5A2A-45F0-A2EE-AF22F670CDBD}" sourceName="Month">
  <pivotTables>
    <pivotTable tabId="5" name="PivotTable5"/>
    <pivotTable tabId="5" name="PivotTable1"/>
    <pivotTable tabId="5" name="PivotTable2"/>
    <pivotTable tabId="5" name="PivotTable3"/>
    <pivotTable tabId="5" name="PivotTable4"/>
  </pivotTables>
  <state minimalRefreshVersion="6" lastRefreshVersion="6" pivotCacheId="1869490342"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5BB276EB-6F3B-40A6-95F4-E20536B3B168}" cache="NativeTimeline_Month" caption="Month" level="2" selectionLevel="2" scrollPosition="2025-01-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5B367-05E3-48E2-8DAC-B5FAEB1B69AE}">
  <dimension ref="A1:AG40"/>
  <sheetViews>
    <sheetView tabSelected="1" zoomScale="71" zoomScaleNormal="71" workbookViewId="0">
      <selection activeCell="AI31" sqref="AI31"/>
    </sheetView>
  </sheetViews>
  <sheetFormatPr defaultRowHeight="14.4" x14ac:dyDescent="0.3"/>
  <cols>
    <col min="26" max="26" width="5.109375" customWidth="1"/>
    <col min="32" max="32" width="10.44140625" customWidth="1"/>
  </cols>
  <sheetData>
    <row r="1" spans="1:33"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row>
    <row r="2" spans="1:33"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row>
    <row r="3" spans="1:33" s="8" customFormat="1"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3" s="8" customFormat="1"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row>
    <row r="5" spans="1:33" s="8" customFormat="1"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row>
    <row r="6" spans="1:33"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row>
    <row r="7" spans="1:33"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row>
    <row r="9" spans="1:33"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row>
    <row r="10" spans="1:33"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row>
    <row r="11" spans="1:33"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row>
    <row r="13" spans="1:33"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row>
    <row r="14" spans="1:33"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row>
    <row r="15" spans="1:33"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3"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row>
    <row r="19" spans="1:33"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row>
    <row r="20" spans="1:33"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row>
    <row r="21" spans="1:33"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row>
    <row r="22" spans="1:33"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row>
    <row r="23" spans="1:33"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3"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row>
    <row r="25" spans="1:33"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row>
    <row r="26" spans="1:33"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row>
    <row r="27" spans="1:33"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row>
    <row r="28" spans="1:33"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row>
    <row r="29" spans="1:33"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row>
    <row r="30" spans="1:33"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row>
    <row r="31" spans="1:33"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row>
    <row r="32" spans="1:33"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row>
    <row r="33" spans="1:33"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row>
    <row r="34" spans="1:33"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row>
    <row r="35" spans="1:33"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row>
    <row r="36" spans="1:33"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row>
    <row r="37" spans="1:33"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row>
    <row r="38" spans="1:33"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row>
    <row r="39" spans="1:33"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row>
    <row r="40" spans="1:33"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row>
  </sheetData>
  <mergeCells count="1">
    <mergeCell ref="A3:AF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31BD4-B6D7-4D3F-8D85-05FE6700FD90}">
  <dimension ref="B2:F60"/>
  <sheetViews>
    <sheetView showGridLines="0" workbookViewId="0">
      <selection activeCell="B52" sqref="B52:C52"/>
    </sheetView>
  </sheetViews>
  <sheetFormatPr defaultRowHeight="14.4" x14ac:dyDescent="0.3"/>
  <cols>
    <col min="2" max="2" width="30.44140625" bestFit="1" customWidth="1"/>
    <col min="3" max="3" width="20.88671875" bestFit="1" customWidth="1"/>
    <col min="4" max="4" width="13.88671875" bestFit="1" customWidth="1"/>
    <col min="5" max="5" width="20.88671875" bestFit="1" customWidth="1"/>
    <col min="6" max="6" width="25.77734375" bestFit="1" customWidth="1"/>
    <col min="7" max="7" width="16.33203125" bestFit="1" customWidth="1"/>
    <col min="8" max="8" width="10.77734375" bestFit="1" customWidth="1"/>
  </cols>
  <sheetData>
    <row r="2" spans="2:6" ht="19.8" x14ac:dyDescent="0.3">
      <c r="B2" s="13" t="s">
        <v>60</v>
      </c>
      <c r="C2" s="13"/>
      <c r="D2" s="13"/>
      <c r="E2" s="13"/>
    </row>
    <row r="4" spans="2:6" x14ac:dyDescent="0.3">
      <c r="B4" s="5" t="s">
        <v>58</v>
      </c>
      <c r="C4" t="s">
        <v>56</v>
      </c>
      <c r="D4" t="s">
        <v>55</v>
      </c>
      <c r="E4" t="s">
        <v>57</v>
      </c>
    </row>
    <row r="5" spans="2:6" x14ac:dyDescent="0.3">
      <c r="B5" s="6" t="s">
        <v>5</v>
      </c>
      <c r="C5" s="2">
        <v>3258000</v>
      </c>
      <c r="D5" s="2">
        <v>3785708.4400000004</v>
      </c>
      <c r="E5" s="2">
        <v>527708.44000000006</v>
      </c>
    </row>
    <row r="6" spans="2:6" x14ac:dyDescent="0.3">
      <c r="B6" s="6" t="s">
        <v>59</v>
      </c>
      <c r="C6" s="2">
        <v>3258000</v>
      </c>
      <c r="D6" s="2">
        <v>3785708.4400000004</v>
      </c>
      <c r="E6" s="2">
        <v>527708.44000000006</v>
      </c>
    </row>
    <row r="11" spans="2:6" x14ac:dyDescent="0.3">
      <c r="B11" s="6"/>
      <c r="C11" s="2"/>
      <c r="D11" s="2"/>
      <c r="E11" s="2"/>
    </row>
    <row r="12" spans="2:6" ht="19.8" x14ac:dyDescent="0.3">
      <c r="B12" s="13" t="s">
        <v>73</v>
      </c>
      <c r="C12" s="13"/>
      <c r="D12" s="13"/>
      <c r="E12" s="11"/>
      <c r="F12" s="11"/>
    </row>
    <row r="14" spans="2:6" x14ac:dyDescent="0.3">
      <c r="B14" s="5" t="s">
        <v>58</v>
      </c>
      <c r="C14" t="s">
        <v>82</v>
      </c>
      <c r="D14" t="s">
        <v>83</v>
      </c>
    </row>
    <row r="15" spans="2:6" x14ac:dyDescent="0.3">
      <c r="B15" s="6" t="s">
        <v>61</v>
      </c>
      <c r="C15" s="2">
        <v>271500</v>
      </c>
      <c r="D15" s="2">
        <v>255746.3</v>
      </c>
    </row>
    <row r="16" spans="2:6" x14ac:dyDescent="0.3">
      <c r="B16" s="6" t="s">
        <v>62</v>
      </c>
      <c r="C16" s="2">
        <v>271500</v>
      </c>
      <c r="D16" s="2">
        <v>273862.57999999996</v>
      </c>
    </row>
    <row r="17" spans="2:6" x14ac:dyDescent="0.3">
      <c r="B17" s="6" t="s">
        <v>63</v>
      </c>
      <c r="C17" s="2">
        <v>271500</v>
      </c>
      <c r="D17" s="2">
        <v>302015.11</v>
      </c>
    </row>
    <row r="18" spans="2:6" x14ac:dyDescent="0.3">
      <c r="B18" s="6" t="s">
        <v>64</v>
      </c>
      <c r="C18" s="2">
        <v>271500</v>
      </c>
      <c r="D18" s="2">
        <v>299577.3</v>
      </c>
    </row>
    <row r="19" spans="2:6" x14ac:dyDescent="0.3">
      <c r="B19" s="6" t="s">
        <v>65</v>
      </c>
      <c r="C19" s="2">
        <v>271500</v>
      </c>
      <c r="D19" s="2">
        <v>301968.51</v>
      </c>
    </row>
    <row r="20" spans="2:6" x14ac:dyDescent="0.3">
      <c r="B20" s="6" t="s">
        <v>66</v>
      </c>
      <c r="C20" s="2">
        <v>271500</v>
      </c>
      <c r="D20" s="2">
        <v>305143.04000000004</v>
      </c>
    </row>
    <row r="21" spans="2:6" x14ac:dyDescent="0.3">
      <c r="B21" s="6" t="s">
        <v>67</v>
      </c>
      <c r="C21" s="2">
        <v>271500</v>
      </c>
      <c r="D21" s="2">
        <v>311230.96000000002</v>
      </c>
    </row>
    <row r="22" spans="2:6" x14ac:dyDescent="0.3">
      <c r="B22" s="6" t="s">
        <v>68</v>
      </c>
      <c r="C22" s="2">
        <v>271500</v>
      </c>
      <c r="D22" s="2">
        <v>323390.93</v>
      </c>
    </row>
    <row r="23" spans="2:6" x14ac:dyDescent="0.3">
      <c r="B23" s="6" t="s">
        <v>69</v>
      </c>
      <c r="C23" s="2">
        <v>271500</v>
      </c>
      <c r="D23" s="2">
        <v>325186.92999999993</v>
      </c>
    </row>
    <row r="24" spans="2:6" x14ac:dyDescent="0.3">
      <c r="B24" s="6" t="s">
        <v>70</v>
      </c>
      <c r="C24" s="2">
        <v>271500</v>
      </c>
      <c r="D24" s="2">
        <v>332729.45</v>
      </c>
    </row>
    <row r="25" spans="2:6" x14ac:dyDescent="0.3">
      <c r="B25" s="6" t="s">
        <v>71</v>
      </c>
      <c r="C25" s="2">
        <v>271500</v>
      </c>
      <c r="D25" s="2">
        <v>376375.72</v>
      </c>
    </row>
    <row r="26" spans="2:6" x14ac:dyDescent="0.3">
      <c r="B26" s="6" t="s">
        <v>72</v>
      </c>
      <c r="C26" s="2">
        <v>271500</v>
      </c>
      <c r="D26" s="2">
        <v>378481.61</v>
      </c>
    </row>
    <row r="27" spans="2:6" x14ac:dyDescent="0.3">
      <c r="B27" s="6" t="s">
        <v>59</v>
      </c>
      <c r="C27" s="2">
        <v>3258000</v>
      </c>
      <c r="D27" s="2">
        <v>3785708.44</v>
      </c>
    </row>
    <row r="28" spans="2:6" x14ac:dyDescent="0.3">
      <c r="B28" s="6"/>
      <c r="C28" s="2"/>
      <c r="D28" s="2"/>
      <c r="E28" s="2"/>
      <c r="F28" s="7"/>
    </row>
    <row r="29" spans="2:6" ht="19.8" x14ac:dyDescent="0.3">
      <c r="B29" s="10" t="s">
        <v>74</v>
      </c>
      <c r="C29" s="10"/>
      <c r="D29" s="11"/>
      <c r="E29" s="11"/>
      <c r="F29" s="11"/>
    </row>
    <row r="31" spans="2:6" x14ac:dyDescent="0.3">
      <c r="B31" s="5" t="s">
        <v>58</v>
      </c>
      <c r="C31" t="s">
        <v>84</v>
      </c>
    </row>
    <row r="32" spans="2:6" x14ac:dyDescent="0.3">
      <c r="B32" s="6" t="s">
        <v>7</v>
      </c>
      <c r="C32" s="2">
        <v>457233.76000000007</v>
      </c>
    </row>
    <row r="33" spans="2:6" x14ac:dyDescent="0.3">
      <c r="B33" s="6" t="s">
        <v>11</v>
      </c>
      <c r="C33" s="2">
        <v>70474.679999999993</v>
      </c>
    </row>
    <row r="34" spans="2:6" x14ac:dyDescent="0.3">
      <c r="B34" s="6" t="s">
        <v>59</v>
      </c>
      <c r="C34" s="2">
        <v>527708.44000000006</v>
      </c>
    </row>
    <row r="41" spans="2:6" x14ac:dyDescent="0.3">
      <c r="B41" s="6"/>
      <c r="C41" s="2"/>
      <c r="D41" s="2"/>
      <c r="E41" s="2"/>
      <c r="F41" s="7"/>
    </row>
    <row r="42" spans="2:6" ht="19.8" x14ac:dyDescent="0.3">
      <c r="B42" s="13" t="s">
        <v>75</v>
      </c>
      <c r="C42" s="13"/>
      <c r="D42" s="11"/>
      <c r="E42" s="11"/>
      <c r="F42" s="11"/>
    </row>
    <row r="44" spans="2:6" x14ac:dyDescent="0.3">
      <c r="B44" s="5" t="s">
        <v>58</v>
      </c>
      <c r="C44" t="s">
        <v>84</v>
      </c>
    </row>
    <row r="45" spans="2:6" x14ac:dyDescent="0.3">
      <c r="B45" s="6" t="s">
        <v>5</v>
      </c>
      <c r="C45" s="2">
        <v>527708.44000000006</v>
      </c>
    </row>
    <row r="46" spans="2:6" x14ac:dyDescent="0.3">
      <c r="B46" s="6" t="s">
        <v>59</v>
      </c>
      <c r="C46" s="2">
        <v>527708.44000000006</v>
      </c>
    </row>
    <row r="52" spans="2:6" ht="19.8" x14ac:dyDescent="0.3">
      <c r="B52" s="13" t="s">
        <v>76</v>
      </c>
      <c r="C52" s="13"/>
      <c r="D52" s="11"/>
      <c r="E52" s="11"/>
      <c r="F52" s="11"/>
    </row>
    <row r="54" spans="2:6" x14ac:dyDescent="0.3">
      <c r="B54" s="5" t="s">
        <v>58</v>
      </c>
      <c r="C54" t="s">
        <v>57</v>
      </c>
    </row>
    <row r="55" spans="2:6" x14ac:dyDescent="0.3">
      <c r="B55" s="6" t="s">
        <v>12</v>
      </c>
      <c r="C55" s="2">
        <v>17274.98</v>
      </c>
    </row>
    <row r="56" spans="2:6" x14ac:dyDescent="0.3">
      <c r="B56" s="6" t="s">
        <v>10</v>
      </c>
      <c r="C56" s="2">
        <v>53199.700000000004</v>
      </c>
    </row>
    <row r="57" spans="2:6" x14ac:dyDescent="0.3">
      <c r="B57" s="6" t="s">
        <v>6</v>
      </c>
      <c r="C57" s="2">
        <v>95269.209999999992</v>
      </c>
    </row>
    <row r="58" spans="2:6" x14ac:dyDescent="0.3">
      <c r="B58" s="6" t="s">
        <v>8</v>
      </c>
      <c r="C58" s="2">
        <v>141856.24</v>
      </c>
    </row>
    <row r="59" spans="2:6" x14ac:dyDescent="0.3">
      <c r="B59" s="6" t="s">
        <v>9</v>
      </c>
      <c r="C59" s="2">
        <v>220108.31</v>
      </c>
    </row>
    <row r="60" spans="2:6" x14ac:dyDescent="0.3">
      <c r="B60" s="6" t="s">
        <v>59</v>
      </c>
      <c r="C60" s="2">
        <v>527708.43999999994</v>
      </c>
    </row>
  </sheetData>
  <mergeCells count="4">
    <mergeCell ref="B2:E2"/>
    <mergeCell ref="B12:D12"/>
    <mergeCell ref="B42:C42"/>
    <mergeCell ref="B52:C5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C2758-FCB1-4B08-8804-2D2DFC7372B0}">
  <dimension ref="A1:L373"/>
  <sheetViews>
    <sheetView workbookViewId="0">
      <selection activeCell="L5" sqref="L5"/>
    </sheetView>
  </sheetViews>
  <sheetFormatPr defaultRowHeight="14.4" x14ac:dyDescent="0.3"/>
  <cols>
    <col min="1" max="1" width="10.33203125" style="1" bestFit="1" customWidth="1"/>
    <col min="2" max="2" width="21.88671875" bestFit="1" customWidth="1"/>
    <col min="3" max="3" width="30.44140625" bestFit="1" customWidth="1"/>
    <col min="4" max="4" width="15.6640625" bestFit="1" customWidth="1"/>
    <col min="5" max="5" width="16.5546875" style="2" bestFit="1" customWidth="1"/>
    <col min="6" max="6" width="17.21875" style="3" bestFit="1" customWidth="1"/>
    <col min="7" max="7" width="16.5546875" style="3" bestFit="1" customWidth="1"/>
    <col min="8" max="8" width="18.109375" style="4" bestFit="1" customWidth="1"/>
    <col min="9" max="9" width="15.77734375" bestFit="1" customWidth="1"/>
    <col min="11" max="11" width="15.6640625" bestFit="1" customWidth="1"/>
    <col min="12" max="12" width="14.33203125" bestFit="1" customWidth="1"/>
  </cols>
  <sheetData>
    <row r="1" spans="1:12" x14ac:dyDescent="0.3">
      <c r="A1" s="1" t="s">
        <v>0</v>
      </c>
      <c r="B1" t="s">
        <v>1</v>
      </c>
      <c r="C1" t="s">
        <v>2</v>
      </c>
      <c r="D1" t="s">
        <v>3</v>
      </c>
      <c r="E1" s="2" t="s">
        <v>4</v>
      </c>
      <c r="F1" s="3" t="s">
        <v>49</v>
      </c>
      <c r="G1" s="3" t="s">
        <v>50</v>
      </c>
      <c r="H1" s="4" t="s">
        <v>51</v>
      </c>
      <c r="I1" t="s">
        <v>52</v>
      </c>
      <c r="K1" t="s">
        <v>77</v>
      </c>
      <c r="L1" s="2">
        <f>SUMIF(Actual_v_Raw[Category],B2,Actual_v_Raw[Actual_Amount])</f>
        <v>3785708.4399999995</v>
      </c>
    </row>
    <row r="2" spans="1:12" x14ac:dyDescent="0.3">
      <c r="A2" s="1">
        <v>45658</v>
      </c>
      <c r="B2" t="s">
        <v>5</v>
      </c>
      <c r="C2" t="s">
        <v>6</v>
      </c>
      <c r="D2" t="s">
        <v>7</v>
      </c>
      <c r="E2" s="2">
        <v>41977.23</v>
      </c>
      <c r="F2" s="3">
        <v>43000</v>
      </c>
      <c r="G2" s="3">
        <v>-1022.7699999999968</v>
      </c>
      <c r="H2" s="4">
        <v>-2.3785348837209199E-2</v>
      </c>
      <c r="I2" t="s">
        <v>53</v>
      </c>
      <c r="K2" t="s">
        <v>78</v>
      </c>
      <c r="L2" s="2">
        <f>SUMIF(Actual_v_Raw[Category],"&lt;&gt;Revenue",Actual_v_Raw[Actual_Amount])</f>
        <v>7312515.7700000014</v>
      </c>
    </row>
    <row r="3" spans="1:12" x14ac:dyDescent="0.3">
      <c r="A3" s="1">
        <v>45658</v>
      </c>
      <c r="B3" t="s">
        <v>5</v>
      </c>
      <c r="C3" t="s">
        <v>8</v>
      </c>
      <c r="D3" t="s">
        <v>7</v>
      </c>
      <c r="E3" s="2">
        <v>74485.58</v>
      </c>
      <c r="F3" s="3">
        <v>82000</v>
      </c>
      <c r="G3" s="3">
        <v>-7514.4199999999983</v>
      </c>
      <c r="H3" s="4">
        <v>-9.1639268292682902E-2</v>
      </c>
      <c r="I3" t="s">
        <v>53</v>
      </c>
      <c r="K3" t="s">
        <v>79</v>
      </c>
      <c r="L3" s="2">
        <f>L1-L2</f>
        <v>-3526807.3300000019</v>
      </c>
    </row>
    <row r="4" spans="1:12" x14ac:dyDescent="0.3">
      <c r="A4" s="1">
        <v>45658</v>
      </c>
      <c r="B4" t="s">
        <v>5</v>
      </c>
      <c r="C4" t="s">
        <v>9</v>
      </c>
      <c r="D4" t="s">
        <v>7</v>
      </c>
      <c r="E4" s="2">
        <v>107916.32</v>
      </c>
      <c r="F4" s="3">
        <v>115000</v>
      </c>
      <c r="G4" s="3">
        <v>-7083.679999999993</v>
      </c>
      <c r="H4" s="4">
        <v>-6.1597217391304297E-2</v>
      </c>
      <c r="I4" t="s">
        <v>53</v>
      </c>
      <c r="K4" t="s">
        <v>80</v>
      </c>
      <c r="L4" s="3">
        <f>SUMIFS(Actual_v_Raw[Variance_Dollar],Actual_v_Raw[Category],"Revenue")</f>
        <v>527708.44000000006</v>
      </c>
    </row>
    <row r="5" spans="1:12" x14ac:dyDescent="0.3">
      <c r="A5" s="1">
        <v>45658</v>
      </c>
      <c r="B5" t="s">
        <v>5</v>
      </c>
      <c r="C5" t="s">
        <v>10</v>
      </c>
      <c r="D5" t="s">
        <v>11</v>
      </c>
      <c r="E5" s="2">
        <v>22232.11</v>
      </c>
      <c r="F5" s="3">
        <v>24000</v>
      </c>
      <c r="G5" s="3">
        <v>-1767.8899999999994</v>
      </c>
      <c r="H5" s="4">
        <v>-7.3662083333333295E-2</v>
      </c>
      <c r="I5" t="s">
        <v>53</v>
      </c>
      <c r="K5" t="s">
        <v>81</v>
      </c>
      <c r="L5" s="3">
        <f>SUMIFS(Actual_v_Raw[Variance_Dollar],Actual_v_Raw[Category],"&lt;&gt;Revenue")</f>
        <v>180915.77000000005</v>
      </c>
    </row>
    <row r="6" spans="1:12" x14ac:dyDescent="0.3">
      <c r="A6" s="1">
        <v>45658</v>
      </c>
      <c r="B6" t="s">
        <v>5</v>
      </c>
      <c r="C6" t="s">
        <v>12</v>
      </c>
      <c r="D6" t="s">
        <v>11</v>
      </c>
      <c r="E6" s="2">
        <v>9135.06</v>
      </c>
      <c r="F6" s="3">
        <v>7500</v>
      </c>
      <c r="G6" s="3">
        <v>1635.0599999999995</v>
      </c>
      <c r="H6" s="4">
        <v>0.21800800000000001</v>
      </c>
      <c r="I6" t="s">
        <v>54</v>
      </c>
    </row>
    <row r="7" spans="1:12" x14ac:dyDescent="0.3">
      <c r="A7" s="1">
        <v>45658</v>
      </c>
      <c r="B7" t="s">
        <v>13</v>
      </c>
      <c r="C7" t="s">
        <v>14</v>
      </c>
      <c r="D7" t="s">
        <v>15</v>
      </c>
      <c r="E7" s="2">
        <v>32812.5</v>
      </c>
      <c r="F7" s="3">
        <v>30000</v>
      </c>
      <c r="G7" s="3">
        <v>2812.5</v>
      </c>
      <c r="H7" s="4">
        <v>9.375E-2</v>
      </c>
      <c r="I7" t="s">
        <v>53</v>
      </c>
    </row>
    <row r="8" spans="1:12" x14ac:dyDescent="0.3">
      <c r="A8" s="1">
        <v>45658</v>
      </c>
      <c r="B8" t="s">
        <v>13</v>
      </c>
      <c r="C8" t="s">
        <v>16</v>
      </c>
      <c r="D8" t="s">
        <v>11</v>
      </c>
      <c r="E8" s="2">
        <v>28439.24</v>
      </c>
      <c r="F8" s="3">
        <v>28000</v>
      </c>
      <c r="G8" s="3">
        <v>439.2400000000016</v>
      </c>
      <c r="H8" s="4">
        <v>1.5687142857142899E-2</v>
      </c>
      <c r="I8" t="s">
        <v>53</v>
      </c>
    </row>
    <row r="9" spans="1:12" x14ac:dyDescent="0.3">
      <c r="A9" s="1">
        <v>45658</v>
      </c>
      <c r="B9" t="s">
        <v>13</v>
      </c>
      <c r="C9" t="s">
        <v>17</v>
      </c>
      <c r="D9" t="s">
        <v>18</v>
      </c>
      <c r="E9" s="2">
        <v>7110.29</v>
      </c>
      <c r="F9" s="3">
        <v>7800</v>
      </c>
      <c r="G9" s="3">
        <v>-689.71</v>
      </c>
      <c r="H9" s="4">
        <v>-8.8424358974359005E-2</v>
      </c>
      <c r="I9" t="s">
        <v>54</v>
      </c>
    </row>
    <row r="10" spans="1:12" x14ac:dyDescent="0.3">
      <c r="A10" s="1">
        <v>45658</v>
      </c>
      <c r="B10" t="s">
        <v>13</v>
      </c>
      <c r="C10" t="s">
        <v>19</v>
      </c>
      <c r="D10" t="s">
        <v>15</v>
      </c>
      <c r="E10" s="2">
        <v>5414.11</v>
      </c>
      <c r="F10" s="3">
        <v>5500</v>
      </c>
      <c r="G10" s="3">
        <v>-85.890000000000327</v>
      </c>
      <c r="H10" s="4">
        <v>-1.5616363636363701E-2</v>
      </c>
      <c r="I10" t="s">
        <v>54</v>
      </c>
    </row>
    <row r="11" spans="1:12" x14ac:dyDescent="0.3">
      <c r="A11" s="1">
        <v>45658</v>
      </c>
      <c r="B11" t="s">
        <v>20</v>
      </c>
      <c r="C11" t="s">
        <v>21</v>
      </c>
      <c r="D11" t="s">
        <v>22</v>
      </c>
      <c r="E11" s="2">
        <v>42884.09</v>
      </c>
      <c r="F11" s="3">
        <v>40000</v>
      </c>
      <c r="G11" s="3">
        <v>2884.0899999999965</v>
      </c>
      <c r="H11" s="4">
        <v>7.2102249999999896E-2</v>
      </c>
      <c r="I11" t="s">
        <v>53</v>
      </c>
    </row>
    <row r="12" spans="1:12" x14ac:dyDescent="0.3">
      <c r="A12" s="1">
        <v>45658</v>
      </c>
      <c r="B12" t="s">
        <v>20</v>
      </c>
      <c r="C12" t="s">
        <v>23</v>
      </c>
      <c r="D12" t="s">
        <v>7</v>
      </c>
      <c r="E12" s="2">
        <v>64268.46</v>
      </c>
      <c r="F12" s="3">
        <v>65000</v>
      </c>
      <c r="G12" s="3">
        <v>-731.54000000000087</v>
      </c>
      <c r="H12" s="4">
        <v>-1.12544615384616E-2</v>
      </c>
      <c r="I12" t="s">
        <v>54</v>
      </c>
    </row>
    <row r="13" spans="1:12" x14ac:dyDescent="0.3">
      <c r="A13" s="1">
        <v>45658</v>
      </c>
      <c r="B13" t="s">
        <v>20</v>
      </c>
      <c r="C13" t="s">
        <v>24</v>
      </c>
      <c r="D13" t="s">
        <v>22</v>
      </c>
      <c r="E13" s="2">
        <v>35007.5</v>
      </c>
      <c r="F13" s="3">
        <v>35000</v>
      </c>
      <c r="G13" s="3">
        <v>7.5</v>
      </c>
      <c r="H13" s="4">
        <v>2.14285714285714E-4</v>
      </c>
      <c r="I13" t="s">
        <v>53</v>
      </c>
    </row>
    <row r="14" spans="1:12" x14ac:dyDescent="0.3">
      <c r="A14" s="1">
        <v>45658</v>
      </c>
      <c r="B14" t="s">
        <v>20</v>
      </c>
      <c r="C14" t="s">
        <v>25</v>
      </c>
      <c r="D14" t="s">
        <v>7</v>
      </c>
      <c r="E14" s="2">
        <v>18522.32</v>
      </c>
      <c r="F14" s="3">
        <v>21000</v>
      </c>
      <c r="G14" s="3">
        <v>-2477.6800000000003</v>
      </c>
      <c r="H14" s="4">
        <v>-0.11798476190476199</v>
      </c>
      <c r="I14" t="s">
        <v>54</v>
      </c>
    </row>
    <row r="15" spans="1:12" x14ac:dyDescent="0.3">
      <c r="A15" s="1">
        <v>45658</v>
      </c>
      <c r="B15" t="s">
        <v>20</v>
      </c>
      <c r="C15" t="s">
        <v>26</v>
      </c>
      <c r="D15" t="s">
        <v>22</v>
      </c>
      <c r="E15" s="2">
        <v>8244.01</v>
      </c>
      <c r="F15" s="3">
        <v>8500</v>
      </c>
      <c r="G15" s="3">
        <v>-255.98999999999978</v>
      </c>
      <c r="H15" s="4">
        <v>-3.01164705882353E-2</v>
      </c>
      <c r="I15" t="s">
        <v>54</v>
      </c>
    </row>
    <row r="16" spans="1:12" x14ac:dyDescent="0.3">
      <c r="A16" s="1">
        <v>45658</v>
      </c>
      <c r="B16" t="s">
        <v>20</v>
      </c>
      <c r="C16" t="s">
        <v>27</v>
      </c>
      <c r="D16" t="s">
        <v>22</v>
      </c>
      <c r="E16" s="2">
        <v>3179.86</v>
      </c>
      <c r="F16" s="3">
        <v>10000</v>
      </c>
      <c r="G16" s="3">
        <v>-6820.1399999999994</v>
      </c>
      <c r="H16" s="4">
        <v>-0.68201400000000001</v>
      </c>
      <c r="I16" t="s">
        <v>54</v>
      </c>
    </row>
    <row r="17" spans="1:9" x14ac:dyDescent="0.3">
      <c r="A17" s="1">
        <v>45658</v>
      </c>
      <c r="B17" t="s">
        <v>20</v>
      </c>
      <c r="C17" t="s">
        <v>28</v>
      </c>
      <c r="D17" t="s">
        <v>7</v>
      </c>
      <c r="E17" s="2">
        <v>4540.45</v>
      </c>
      <c r="F17" s="3">
        <v>4500</v>
      </c>
      <c r="G17" s="3">
        <v>40.449999999999818</v>
      </c>
      <c r="H17" s="4">
        <v>8.9888888888888501E-3</v>
      </c>
      <c r="I17" t="s">
        <v>53</v>
      </c>
    </row>
    <row r="18" spans="1:9" x14ac:dyDescent="0.3">
      <c r="A18" s="1">
        <v>45658</v>
      </c>
      <c r="B18" t="s">
        <v>29</v>
      </c>
      <c r="C18" t="s">
        <v>30</v>
      </c>
      <c r="D18" t="s">
        <v>31</v>
      </c>
      <c r="E18" s="2">
        <v>93937.67</v>
      </c>
      <c r="F18" s="3">
        <v>95000</v>
      </c>
      <c r="G18" s="3">
        <v>-1062.3300000000017</v>
      </c>
      <c r="H18" s="4">
        <v>-1.11824210526316E-2</v>
      </c>
      <c r="I18" t="s">
        <v>54</v>
      </c>
    </row>
    <row r="19" spans="1:9" x14ac:dyDescent="0.3">
      <c r="A19" s="1">
        <v>45658</v>
      </c>
      <c r="B19" t="s">
        <v>29</v>
      </c>
      <c r="C19" t="s">
        <v>32</v>
      </c>
      <c r="D19" t="s">
        <v>33</v>
      </c>
      <c r="E19" s="2">
        <v>40142.83</v>
      </c>
      <c r="F19" s="3">
        <v>40000</v>
      </c>
      <c r="G19" s="3">
        <v>142.83000000000175</v>
      </c>
      <c r="H19" s="4">
        <v>3.57075000000004E-3</v>
      </c>
      <c r="I19" t="s">
        <v>53</v>
      </c>
    </row>
    <row r="20" spans="1:9" x14ac:dyDescent="0.3">
      <c r="A20" s="1">
        <v>45658</v>
      </c>
      <c r="B20" t="s">
        <v>29</v>
      </c>
      <c r="C20" t="s">
        <v>34</v>
      </c>
      <c r="D20" t="s">
        <v>31</v>
      </c>
      <c r="E20" s="2">
        <v>12742.63</v>
      </c>
      <c r="F20" s="3">
        <v>12000</v>
      </c>
      <c r="G20" s="3">
        <v>742.6299999999992</v>
      </c>
      <c r="H20" s="4">
        <v>6.18858333333333E-2</v>
      </c>
      <c r="I20" t="s">
        <v>53</v>
      </c>
    </row>
    <row r="21" spans="1:9" x14ac:dyDescent="0.3">
      <c r="A21" s="1">
        <v>45658</v>
      </c>
      <c r="B21" t="s">
        <v>29</v>
      </c>
      <c r="C21" t="s">
        <v>35</v>
      </c>
      <c r="D21" t="s">
        <v>31</v>
      </c>
      <c r="E21" s="2">
        <v>6815.6</v>
      </c>
      <c r="F21" s="3">
        <v>8500</v>
      </c>
      <c r="G21" s="3">
        <v>-1684.3999999999996</v>
      </c>
      <c r="H21" s="4">
        <v>-0.19816470588235299</v>
      </c>
      <c r="I21" t="s">
        <v>54</v>
      </c>
    </row>
    <row r="22" spans="1:9" x14ac:dyDescent="0.3">
      <c r="A22" s="1">
        <v>45658</v>
      </c>
      <c r="B22" t="s">
        <v>29</v>
      </c>
      <c r="C22" t="s">
        <v>36</v>
      </c>
      <c r="D22" t="s">
        <v>31</v>
      </c>
      <c r="E22" s="2">
        <v>6897.57</v>
      </c>
      <c r="F22" s="3">
        <v>6500</v>
      </c>
      <c r="G22" s="3">
        <v>397.56999999999971</v>
      </c>
      <c r="H22" s="4">
        <v>6.1164615384615303E-2</v>
      </c>
      <c r="I22" t="s">
        <v>53</v>
      </c>
    </row>
    <row r="23" spans="1:9" x14ac:dyDescent="0.3">
      <c r="A23" s="1">
        <v>45658</v>
      </c>
      <c r="B23" t="s">
        <v>37</v>
      </c>
      <c r="C23" t="s">
        <v>38</v>
      </c>
      <c r="D23" t="s">
        <v>39</v>
      </c>
      <c r="E23" s="2">
        <v>55217.95</v>
      </c>
      <c r="F23" s="3">
        <v>55000</v>
      </c>
      <c r="G23" s="3">
        <v>217.94999999999709</v>
      </c>
      <c r="H23" s="4">
        <v>3.9627272727272202E-3</v>
      </c>
      <c r="I23" t="s">
        <v>53</v>
      </c>
    </row>
    <row r="24" spans="1:9" x14ac:dyDescent="0.3">
      <c r="A24" s="1">
        <v>45658</v>
      </c>
      <c r="B24" t="s">
        <v>37</v>
      </c>
      <c r="C24" t="s">
        <v>40</v>
      </c>
      <c r="D24" t="s">
        <v>18</v>
      </c>
      <c r="E24" s="2">
        <v>24840.25</v>
      </c>
      <c r="F24" s="3">
        <v>25000</v>
      </c>
      <c r="G24" s="3">
        <v>-159.75</v>
      </c>
      <c r="H24" s="4">
        <v>-6.3899999999999998E-3</v>
      </c>
      <c r="I24" t="s">
        <v>54</v>
      </c>
    </row>
    <row r="25" spans="1:9" x14ac:dyDescent="0.3">
      <c r="A25" s="1">
        <v>45658</v>
      </c>
      <c r="B25" t="s">
        <v>37</v>
      </c>
      <c r="C25" t="s">
        <v>41</v>
      </c>
      <c r="D25" t="s">
        <v>15</v>
      </c>
      <c r="E25" s="2">
        <v>29586.58</v>
      </c>
      <c r="F25" s="3">
        <v>30000</v>
      </c>
      <c r="G25" s="3">
        <v>-413.41999999999825</v>
      </c>
      <c r="H25" s="4">
        <v>-1.3780666666666601E-2</v>
      </c>
      <c r="I25" t="s">
        <v>54</v>
      </c>
    </row>
    <row r="26" spans="1:9" x14ac:dyDescent="0.3">
      <c r="A26" s="1">
        <v>45658</v>
      </c>
      <c r="B26" t="s">
        <v>37</v>
      </c>
      <c r="C26" t="s">
        <v>42</v>
      </c>
      <c r="D26" t="s">
        <v>15</v>
      </c>
      <c r="E26" s="2">
        <v>18329.189999999999</v>
      </c>
      <c r="F26" s="3">
        <v>18000</v>
      </c>
      <c r="G26" s="3">
        <v>329.18999999999869</v>
      </c>
      <c r="H26" s="4">
        <v>1.8288333333333299E-2</v>
      </c>
      <c r="I26" t="s">
        <v>53</v>
      </c>
    </row>
    <row r="27" spans="1:9" x14ac:dyDescent="0.3">
      <c r="A27" s="1">
        <v>45658</v>
      </c>
      <c r="B27" t="s">
        <v>37</v>
      </c>
      <c r="C27" t="s">
        <v>43</v>
      </c>
      <c r="D27" t="s">
        <v>18</v>
      </c>
      <c r="E27" s="2">
        <v>8714.68</v>
      </c>
      <c r="F27" s="3">
        <v>8500</v>
      </c>
      <c r="G27" s="3">
        <v>214.68000000000029</v>
      </c>
      <c r="H27" s="4">
        <v>2.52564705882353E-2</v>
      </c>
      <c r="I27" t="s">
        <v>53</v>
      </c>
    </row>
    <row r="28" spans="1:9" x14ac:dyDescent="0.3">
      <c r="A28" s="1">
        <v>45658</v>
      </c>
      <c r="B28" t="s">
        <v>37</v>
      </c>
      <c r="C28" t="s">
        <v>44</v>
      </c>
      <c r="D28" t="s">
        <v>18</v>
      </c>
      <c r="E28" s="2">
        <v>7194.56</v>
      </c>
      <c r="F28" s="3">
        <v>7500</v>
      </c>
      <c r="G28" s="3">
        <v>-305.4399999999996</v>
      </c>
      <c r="H28" s="4">
        <v>-4.0725333333333301E-2</v>
      </c>
      <c r="I28" t="s">
        <v>54</v>
      </c>
    </row>
    <row r="29" spans="1:9" x14ac:dyDescent="0.3">
      <c r="A29" s="1">
        <v>45658</v>
      </c>
      <c r="B29" t="s">
        <v>37</v>
      </c>
      <c r="C29" t="s">
        <v>45</v>
      </c>
      <c r="D29" t="s">
        <v>15</v>
      </c>
      <c r="E29" s="2">
        <v>9722.36</v>
      </c>
      <c r="F29" s="3">
        <v>10000</v>
      </c>
      <c r="G29" s="3">
        <v>-277.63999999999942</v>
      </c>
      <c r="H29" s="4">
        <v>-2.77639999999999E-2</v>
      </c>
      <c r="I29" t="s">
        <v>54</v>
      </c>
    </row>
    <row r="30" spans="1:9" x14ac:dyDescent="0.3">
      <c r="A30" s="1">
        <v>45658</v>
      </c>
      <c r="B30" t="s">
        <v>37</v>
      </c>
      <c r="C30" t="s">
        <v>46</v>
      </c>
      <c r="D30" t="s">
        <v>18</v>
      </c>
      <c r="E30" s="2">
        <v>4562.55</v>
      </c>
      <c r="F30" s="3">
        <v>4500</v>
      </c>
      <c r="G30" s="3">
        <v>62.550000000000182</v>
      </c>
      <c r="H30" s="4">
        <v>1.3899999999999999E-2</v>
      </c>
      <c r="I30" t="s">
        <v>53</v>
      </c>
    </row>
    <row r="31" spans="1:9" x14ac:dyDescent="0.3">
      <c r="A31" s="1">
        <v>45658</v>
      </c>
      <c r="B31" t="s">
        <v>37</v>
      </c>
      <c r="C31" t="s">
        <v>47</v>
      </c>
      <c r="D31" t="s">
        <v>15</v>
      </c>
      <c r="E31" s="2">
        <v>6248.94</v>
      </c>
      <c r="F31" s="3">
        <v>6000</v>
      </c>
      <c r="G31" s="3">
        <v>248.9399999999996</v>
      </c>
      <c r="H31" s="4">
        <v>4.1489999999999902E-2</v>
      </c>
      <c r="I31" t="s">
        <v>53</v>
      </c>
    </row>
    <row r="32" spans="1:9" x14ac:dyDescent="0.3">
      <c r="A32" s="1">
        <v>45658</v>
      </c>
      <c r="B32" t="s">
        <v>37</v>
      </c>
      <c r="C32" t="s">
        <v>48</v>
      </c>
      <c r="D32" t="s">
        <v>15</v>
      </c>
      <c r="E32" s="2">
        <v>2807.13</v>
      </c>
      <c r="F32" s="3">
        <v>2500</v>
      </c>
      <c r="G32" s="3">
        <v>307.13000000000011</v>
      </c>
      <c r="H32" s="4">
        <v>0.122852</v>
      </c>
      <c r="I32" t="s">
        <v>53</v>
      </c>
    </row>
    <row r="33" spans="1:9" x14ac:dyDescent="0.3">
      <c r="A33" s="1">
        <v>45689</v>
      </c>
      <c r="B33" t="s">
        <v>5</v>
      </c>
      <c r="C33" t="s">
        <v>6</v>
      </c>
      <c r="D33" t="s">
        <v>7</v>
      </c>
      <c r="E33" s="2">
        <v>43198.11</v>
      </c>
      <c r="F33" s="3">
        <v>43000</v>
      </c>
      <c r="G33" s="3">
        <v>198.11000000000058</v>
      </c>
      <c r="H33" s="4">
        <v>4.6072093023255996E-3</v>
      </c>
      <c r="I33" t="s">
        <v>54</v>
      </c>
    </row>
    <row r="34" spans="1:9" x14ac:dyDescent="0.3">
      <c r="A34" s="1">
        <v>45689</v>
      </c>
      <c r="B34" t="s">
        <v>5</v>
      </c>
      <c r="C34" t="s">
        <v>8</v>
      </c>
      <c r="D34" t="s">
        <v>7</v>
      </c>
      <c r="E34" s="2">
        <v>80052.97</v>
      </c>
      <c r="F34" s="3">
        <v>82000</v>
      </c>
      <c r="G34" s="3">
        <v>-1947.0299999999988</v>
      </c>
      <c r="H34" s="4">
        <v>-2.3744268292682901E-2</v>
      </c>
      <c r="I34" t="s">
        <v>53</v>
      </c>
    </row>
    <row r="35" spans="1:9" x14ac:dyDescent="0.3">
      <c r="A35" s="1">
        <v>45689</v>
      </c>
      <c r="B35" t="s">
        <v>5</v>
      </c>
      <c r="C35" t="s">
        <v>9</v>
      </c>
      <c r="D35" t="s">
        <v>7</v>
      </c>
      <c r="E35" s="2">
        <v>117935.66</v>
      </c>
      <c r="F35" s="3">
        <v>115000</v>
      </c>
      <c r="G35" s="3">
        <v>2935.6600000000035</v>
      </c>
      <c r="H35" s="4">
        <v>2.55274782608696E-2</v>
      </c>
      <c r="I35" t="s">
        <v>54</v>
      </c>
    </row>
    <row r="36" spans="1:9" x14ac:dyDescent="0.3">
      <c r="A36" s="1">
        <v>45689</v>
      </c>
      <c r="B36" t="s">
        <v>5</v>
      </c>
      <c r="C36" t="s">
        <v>10</v>
      </c>
      <c r="D36" t="s">
        <v>11</v>
      </c>
      <c r="E36" s="2">
        <v>24261.05</v>
      </c>
      <c r="F36" s="3">
        <v>24000</v>
      </c>
      <c r="G36" s="3">
        <v>261.04999999999927</v>
      </c>
      <c r="H36" s="4">
        <v>1.0877083333333299E-2</v>
      </c>
      <c r="I36" t="s">
        <v>54</v>
      </c>
    </row>
    <row r="37" spans="1:9" x14ac:dyDescent="0.3">
      <c r="A37" s="1">
        <v>45689</v>
      </c>
      <c r="B37" t="s">
        <v>5</v>
      </c>
      <c r="C37" t="s">
        <v>12</v>
      </c>
      <c r="D37" t="s">
        <v>11</v>
      </c>
      <c r="E37" s="2">
        <v>8414.7900000000009</v>
      </c>
      <c r="F37" s="3">
        <v>7500</v>
      </c>
      <c r="G37" s="3">
        <v>914.79000000000087</v>
      </c>
      <c r="H37" s="4">
        <v>0.121972</v>
      </c>
      <c r="I37" t="s">
        <v>54</v>
      </c>
    </row>
    <row r="38" spans="1:9" x14ac:dyDescent="0.3">
      <c r="A38" s="1">
        <v>45689</v>
      </c>
      <c r="B38" t="s">
        <v>13</v>
      </c>
      <c r="C38" t="s">
        <v>14</v>
      </c>
      <c r="D38" t="s">
        <v>15</v>
      </c>
      <c r="E38" s="2">
        <v>36391.449999999997</v>
      </c>
      <c r="F38" s="3">
        <v>30000</v>
      </c>
      <c r="G38" s="3">
        <v>6391.4499999999971</v>
      </c>
      <c r="H38" s="4">
        <v>0.21304833333333301</v>
      </c>
      <c r="I38" t="s">
        <v>53</v>
      </c>
    </row>
    <row r="39" spans="1:9" x14ac:dyDescent="0.3">
      <c r="A39" s="1">
        <v>45689</v>
      </c>
      <c r="B39" t="s">
        <v>13</v>
      </c>
      <c r="C39" t="s">
        <v>16</v>
      </c>
      <c r="D39" t="s">
        <v>11</v>
      </c>
      <c r="E39" s="2">
        <v>28132.74</v>
      </c>
      <c r="F39" s="3">
        <v>28000</v>
      </c>
      <c r="G39" s="3">
        <v>132.7400000000016</v>
      </c>
      <c r="H39" s="4">
        <v>4.7407142857143402E-3</v>
      </c>
      <c r="I39" t="s">
        <v>53</v>
      </c>
    </row>
    <row r="40" spans="1:9" x14ac:dyDescent="0.3">
      <c r="A40" s="1">
        <v>45689</v>
      </c>
      <c r="B40" t="s">
        <v>13</v>
      </c>
      <c r="C40" t="s">
        <v>17</v>
      </c>
      <c r="D40" t="s">
        <v>18</v>
      </c>
      <c r="E40" s="2">
        <v>8229.2800000000007</v>
      </c>
      <c r="F40" s="3">
        <v>7800</v>
      </c>
      <c r="G40" s="3">
        <v>429.28000000000065</v>
      </c>
      <c r="H40" s="4">
        <v>5.5035897435897499E-2</v>
      </c>
      <c r="I40" t="s">
        <v>53</v>
      </c>
    </row>
    <row r="41" spans="1:9" x14ac:dyDescent="0.3">
      <c r="A41" s="1">
        <v>45689</v>
      </c>
      <c r="B41" t="s">
        <v>13</v>
      </c>
      <c r="C41" t="s">
        <v>19</v>
      </c>
      <c r="D41" t="s">
        <v>15</v>
      </c>
      <c r="E41" s="2">
        <v>5585.09</v>
      </c>
      <c r="F41" s="3">
        <v>5500</v>
      </c>
      <c r="G41" s="3">
        <v>85.090000000000146</v>
      </c>
      <c r="H41" s="4">
        <v>1.5470909090909099E-2</v>
      </c>
      <c r="I41" t="s">
        <v>53</v>
      </c>
    </row>
    <row r="42" spans="1:9" x14ac:dyDescent="0.3">
      <c r="A42" s="1">
        <v>45689</v>
      </c>
      <c r="B42" t="s">
        <v>20</v>
      </c>
      <c r="C42" t="s">
        <v>21</v>
      </c>
      <c r="D42" t="s">
        <v>22</v>
      </c>
      <c r="E42" s="2">
        <v>45920.57</v>
      </c>
      <c r="F42" s="3">
        <v>40000</v>
      </c>
      <c r="G42" s="3">
        <v>5920.57</v>
      </c>
      <c r="H42" s="4">
        <v>0.14801425000000001</v>
      </c>
      <c r="I42" t="s">
        <v>53</v>
      </c>
    </row>
    <row r="43" spans="1:9" x14ac:dyDescent="0.3">
      <c r="A43" s="1">
        <v>45689</v>
      </c>
      <c r="B43" t="s">
        <v>20</v>
      </c>
      <c r="C43" t="s">
        <v>23</v>
      </c>
      <c r="D43" t="s">
        <v>7</v>
      </c>
      <c r="E43" s="2">
        <v>63819.14</v>
      </c>
      <c r="F43" s="3">
        <v>65000</v>
      </c>
      <c r="G43" s="3">
        <v>-1180.8600000000006</v>
      </c>
      <c r="H43" s="4">
        <v>-1.81670769230769E-2</v>
      </c>
      <c r="I43" t="s">
        <v>54</v>
      </c>
    </row>
    <row r="44" spans="1:9" x14ac:dyDescent="0.3">
      <c r="A44" s="1">
        <v>45689</v>
      </c>
      <c r="B44" t="s">
        <v>20</v>
      </c>
      <c r="C44" t="s">
        <v>24</v>
      </c>
      <c r="D44" t="s">
        <v>22</v>
      </c>
      <c r="E44" s="2">
        <v>34619.06</v>
      </c>
      <c r="F44" s="3">
        <v>35000</v>
      </c>
      <c r="G44" s="3">
        <v>-380.94000000000233</v>
      </c>
      <c r="H44" s="4">
        <v>-1.08840000000001E-2</v>
      </c>
      <c r="I44" t="s">
        <v>54</v>
      </c>
    </row>
    <row r="45" spans="1:9" x14ac:dyDescent="0.3">
      <c r="A45" s="1">
        <v>45689</v>
      </c>
      <c r="B45" t="s">
        <v>20</v>
      </c>
      <c r="C45" t="s">
        <v>25</v>
      </c>
      <c r="D45" t="s">
        <v>7</v>
      </c>
      <c r="E45" s="2">
        <v>20986.15</v>
      </c>
      <c r="F45" s="3">
        <v>21000</v>
      </c>
      <c r="G45" s="3">
        <v>-13.849999999998545</v>
      </c>
      <c r="H45" s="4">
        <v>-6.5952380952374E-4</v>
      </c>
      <c r="I45" t="s">
        <v>54</v>
      </c>
    </row>
    <row r="46" spans="1:9" x14ac:dyDescent="0.3">
      <c r="A46" s="1">
        <v>45689</v>
      </c>
      <c r="B46" t="s">
        <v>20</v>
      </c>
      <c r="C46" t="s">
        <v>26</v>
      </c>
      <c r="D46" t="s">
        <v>22</v>
      </c>
      <c r="E46" s="2">
        <v>8142.82</v>
      </c>
      <c r="F46" s="3">
        <v>8500</v>
      </c>
      <c r="G46" s="3">
        <v>-357.18000000000029</v>
      </c>
      <c r="H46" s="4">
        <v>-4.2021176470588298E-2</v>
      </c>
      <c r="I46" t="s">
        <v>54</v>
      </c>
    </row>
    <row r="47" spans="1:9" x14ac:dyDescent="0.3">
      <c r="A47" s="1">
        <v>45689</v>
      </c>
      <c r="B47" t="s">
        <v>20</v>
      </c>
      <c r="C47" t="s">
        <v>27</v>
      </c>
      <c r="D47" t="s">
        <v>22</v>
      </c>
      <c r="E47" s="2">
        <v>2679.35</v>
      </c>
      <c r="F47" s="3">
        <v>10000</v>
      </c>
      <c r="G47" s="3">
        <v>-7320.65</v>
      </c>
      <c r="H47" s="4">
        <v>-0.73206499999999997</v>
      </c>
      <c r="I47" t="s">
        <v>54</v>
      </c>
    </row>
    <row r="48" spans="1:9" x14ac:dyDescent="0.3">
      <c r="A48" s="1">
        <v>45689</v>
      </c>
      <c r="B48" t="s">
        <v>20</v>
      </c>
      <c r="C48" t="s">
        <v>28</v>
      </c>
      <c r="D48" t="s">
        <v>7</v>
      </c>
      <c r="E48" s="2">
        <v>4140.8999999999996</v>
      </c>
      <c r="F48" s="3">
        <v>4500</v>
      </c>
      <c r="G48" s="3">
        <v>-359.10000000000036</v>
      </c>
      <c r="H48" s="4">
        <v>-7.9800000000000093E-2</v>
      </c>
      <c r="I48" t="s">
        <v>54</v>
      </c>
    </row>
    <row r="49" spans="1:9" x14ac:dyDescent="0.3">
      <c r="A49" s="1">
        <v>45689</v>
      </c>
      <c r="B49" t="s">
        <v>29</v>
      </c>
      <c r="C49" t="s">
        <v>30</v>
      </c>
      <c r="D49" t="s">
        <v>31</v>
      </c>
      <c r="E49" s="2">
        <v>94156.3</v>
      </c>
      <c r="F49" s="3">
        <v>95000</v>
      </c>
      <c r="G49" s="3">
        <v>-843.69999999999709</v>
      </c>
      <c r="H49" s="4">
        <v>-8.8810526315789198E-3</v>
      </c>
      <c r="I49" t="s">
        <v>54</v>
      </c>
    </row>
    <row r="50" spans="1:9" x14ac:dyDescent="0.3">
      <c r="A50" s="1">
        <v>45689</v>
      </c>
      <c r="B50" t="s">
        <v>29</v>
      </c>
      <c r="C50" t="s">
        <v>32</v>
      </c>
      <c r="D50" t="s">
        <v>33</v>
      </c>
      <c r="E50" s="2">
        <v>40217.1</v>
      </c>
      <c r="F50" s="3">
        <v>40000</v>
      </c>
      <c r="G50" s="3">
        <v>217.09999999999854</v>
      </c>
      <c r="H50" s="4">
        <v>5.4274999999999601E-3</v>
      </c>
      <c r="I50" t="s">
        <v>53</v>
      </c>
    </row>
    <row r="51" spans="1:9" x14ac:dyDescent="0.3">
      <c r="A51" s="1">
        <v>45689</v>
      </c>
      <c r="B51" t="s">
        <v>29</v>
      </c>
      <c r="C51" t="s">
        <v>34</v>
      </c>
      <c r="D51" t="s">
        <v>31</v>
      </c>
      <c r="E51" s="2">
        <v>11675.6</v>
      </c>
      <c r="F51" s="3">
        <v>12000</v>
      </c>
      <c r="G51" s="3">
        <v>-324.39999999999964</v>
      </c>
      <c r="H51" s="4">
        <v>-2.7033333333333302E-2</v>
      </c>
      <c r="I51" t="s">
        <v>54</v>
      </c>
    </row>
    <row r="52" spans="1:9" x14ac:dyDescent="0.3">
      <c r="A52" s="1">
        <v>45689</v>
      </c>
      <c r="B52" t="s">
        <v>29</v>
      </c>
      <c r="C52" t="s">
        <v>35</v>
      </c>
      <c r="D52" t="s">
        <v>31</v>
      </c>
      <c r="E52" s="2">
        <v>7688.43</v>
      </c>
      <c r="F52" s="3">
        <v>8500</v>
      </c>
      <c r="G52" s="3">
        <v>-811.56999999999971</v>
      </c>
      <c r="H52" s="4">
        <v>-9.5478823529411699E-2</v>
      </c>
      <c r="I52" t="s">
        <v>54</v>
      </c>
    </row>
    <row r="53" spans="1:9" x14ac:dyDescent="0.3">
      <c r="A53" s="1">
        <v>45689</v>
      </c>
      <c r="B53" t="s">
        <v>29</v>
      </c>
      <c r="C53" t="s">
        <v>36</v>
      </c>
      <c r="D53" t="s">
        <v>31</v>
      </c>
      <c r="E53" s="2">
        <v>6122.36</v>
      </c>
      <c r="F53" s="3">
        <v>6500</v>
      </c>
      <c r="G53" s="3">
        <v>-377.64000000000033</v>
      </c>
      <c r="H53" s="4">
        <v>-5.8098461538461599E-2</v>
      </c>
      <c r="I53" t="s">
        <v>54</v>
      </c>
    </row>
    <row r="54" spans="1:9" x14ac:dyDescent="0.3">
      <c r="A54" s="1">
        <v>45689</v>
      </c>
      <c r="B54" t="s">
        <v>37</v>
      </c>
      <c r="C54" t="s">
        <v>38</v>
      </c>
      <c r="D54" t="s">
        <v>39</v>
      </c>
      <c r="E54" s="2">
        <v>54743.68</v>
      </c>
      <c r="F54" s="3">
        <v>55000</v>
      </c>
      <c r="G54" s="3">
        <v>-256.31999999999971</v>
      </c>
      <c r="H54" s="4">
        <v>-4.66036363636363E-3</v>
      </c>
      <c r="I54" t="s">
        <v>54</v>
      </c>
    </row>
    <row r="55" spans="1:9" x14ac:dyDescent="0.3">
      <c r="A55" s="1">
        <v>45689</v>
      </c>
      <c r="B55" t="s">
        <v>37</v>
      </c>
      <c r="C55" t="s">
        <v>40</v>
      </c>
      <c r="D55" t="s">
        <v>18</v>
      </c>
      <c r="E55" s="2">
        <v>25436.65</v>
      </c>
      <c r="F55" s="3">
        <v>25000</v>
      </c>
      <c r="G55" s="3">
        <v>436.65000000000146</v>
      </c>
      <c r="H55" s="4">
        <v>1.74660000000001E-2</v>
      </c>
      <c r="I55" t="s">
        <v>53</v>
      </c>
    </row>
    <row r="56" spans="1:9" x14ac:dyDescent="0.3">
      <c r="A56" s="1">
        <v>45689</v>
      </c>
      <c r="B56" t="s">
        <v>37</v>
      </c>
      <c r="C56" t="s">
        <v>41</v>
      </c>
      <c r="D56" t="s">
        <v>15</v>
      </c>
      <c r="E56" s="2">
        <v>30177.64</v>
      </c>
      <c r="F56" s="3">
        <v>30000</v>
      </c>
      <c r="G56" s="3">
        <v>177.63999999999942</v>
      </c>
      <c r="H56" s="4">
        <v>5.9213333333333097E-3</v>
      </c>
      <c r="I56" t="s">
        <v>53</v>
      </c>
    </row>
    <row r="57" spans="1:9" x14ac:dyDescent="0.3">
      <c r="A57" s="1">
        <v>45689</v>
      </c>
      <c r="B57" t="s">
        <v>37</v>
      </c>
      <c r="C57" t="s">
        <v>42</v>
      </c>
      <c r="D57" t="s">
        <v>15</v>
      </c>
      <c r="E57" s="2">
        <v>18078.57</v>
      </c>
      <c r="F57" s="3">
        <v>18000</v>
      </c>
      <c r="G57" s="3">
        <v>78.569999999999709</v>
      </c>
      <c r="H57" s="4">
        <v>4.36499999999998E-3</v>
      </c>
      <c r="I57" t="s">
        <v>53</v>
      </c>
    </row>
    <row r="58" spans="1:9" x14ac:dyDescent="0.3">
      <c r="A58" s="1">
        <v>45689</v>
      </c>
      <c r="B58" t="s">
        <v>37</v>
      </c>
      <c r="C58" t="s">
        <v>43</v>
      </c>
      <c r="D58" t="s">
        <v>18</v>
      </c>
      <c r="E58" s="2">
        <v>7970.12</v>
      </c>
      <c r="F58" s="3">
        <v>8500</v>
      </c>
      <c r="G58" s="3">
        <v>-529.88000000000011</v>
      </c>
      <c r="H58" s="4">
        <v>-6.2338823529411801E-2</v>
      </c>
      <c r="I58" t="s">
        <v>54</v>
      </c>
    </row>
    <row r="59" spans="1:9" x14ac:dyDescent="0.3">
      <c r="A59" s="1">
        <v>45689</v>
      </c>
      <c r="B59" t="s">
        <v>37</v>
      </c>
      <c r="C59" t="s">
        <v>44</v>
      </c>
      <c r="D59" t="s">
        <v>18</v>
      </c>
      <c r="E59" s="2">
        <v>7671.85</v>
      </c>
      <c r="F59" s="3">
        <v>7500</v>
      </c>
      <c r="G59" s="3">
        <v>171.85000000000036</v>
      </c>
      <c r="H59" s="4">
        <v>2.29133333333334E-2</v>
      </c>
      <c r="I59" t="s">
        <v>53</v>
      </c>
    </row>
    <row r="60" spans="1:9" x14ac:dyDescent="0.3">
      <c r="A60" s="1">
        <v>45689</v>
      </c>
      <c r="B60" t="s">
        <v>37</v>
      </c>
      <c r="C60" t="s">
        <v>45</v>
      </c>
      <c r="D60" t="s">
        <v>15</v>
      </c>
      <c r="E60" s="2">
        <v>9979.1</v>
      </c>
      <c r="F60" s="3">
        <v>10000</v>
      </c>
      <c r="G60" s="3">
        <v>-20.899999999999636</v>
      </c>
      <c r="H60" s="4">
        <v>-2.0899999999999599E-3</v>
      </c>
      <c r="I60" t="s">
        <v>54</v>
      </c>
    </row>
    <row r="61" spans="1:9" x14ac:dyDescent="0.3">
      <c r="A61" s="1">
        <v>45689</v>
      </c>
      <c r="B61" t="s">
        <v>37</v>
      </c>
      <c r="C61" t="s">
        <v>46</v>
      </c>
      <c r="D61" t="s">
        <v>18</v>
      </c>
      <c r="E61" s="2">
        <v>4478.3</v>
      </c>
      <c r="F61" s="3">
        <v>4500</v>
      </c>
      <c r="G61" s="3">
        <v>-21.699999999999818</v>
      </c>
      <c r="H61" s="4">
        <v>-4.82222222222218E-3</v>
      </c>
      <c r="I61" t="s">
        <v>54</v>
      </c>
    </row>
    <row r="62" spans="1:9" x14ac:dyDescent="0.3">
      <c r="A62" s="1">
        <v>45689</v>
      </c>
      <c r="B62" t="s">
        <v>37</v>
      </c>
      <c r="C62" t="s">
        <v>47</v>
      </c>
      <c r="D62" t="s">
        <v>15</v>
      </c>
      <c r="E62" s="2">
        <v>7174.86</v>
      </c>
      <c r="F62" s="3">
        <v>6000</v>
      </c>
      <c r="G62" s="3">
        <v>1174.8599999999997</v>
      </c>
      <c r="H62" s="4">
        <v>0.19581000000000001</v>
      </c>
      <c r="I62" t="s">
        <v>53</v>
      </c>
    </row>
    <row r="63" spans="1:9" x14ac:dyDescent="0.3">
      <c r="A63" s="1">
        <v>45689</v>
      </c>
      <c r="B63" t="s">
        <v>37</v>
      </c>
      <c r="C63" t="s">
        <v>48</v>
      </c>
      <c r="D63" t="s">
        <v>15</v>
      </c>
      <c r="E63" s="2">
        <v>2640</v>
      </c>
      <c r="F63" s="3">
        <v>2500</v>
      </c>
      <c r="G63" s="3">
        <v>140</v>
      </c>
      <c r="H63" s="4">
        <v>5.6000000000000001E-2</v>
      </c>
      <c r="I63" t="s">
        <v>53</v>
      </c>
    </row>
    <row r="64" spans="1:9" x14ac:dyDescent="0.3">
      <c r="A64" s="1">
        <v>45717</v>
      </c>
      <c r="B64" t="s">
        <v>5</v>
      </c>
      <c r="C64" t="s">
        <v>6</v>
      </c>
      <c r="D64" t="s">
        <v>7</v>
      </c>
      <c r="E64" s="2">
        <v>47066.52</v>
      </c>
      <c r="F64" s="3">
        <v>43000</v>
      </c>
      <c r="G64" s="3">
        <v>4066.5199999999968</v>
      </c>
      <c r="H64" s="4">
        <v>9.45702325581394E-2</v>
      </c>
      <c r="I64" t="s">
        <v>54</v>
      </c>
    </row>
    <row r="65" spans="1:9" x14ac:dyDescent="0.3">
      <c r="A65" s="1">
        <v>45717</v>
      </c>
      <c r="B65" t="s">
        <v>5</v>
      </c>
      <c r="C65" t="s">
        <v>8</v>
      </c>
      <c r="D65" t="s">
        <v>7</v>
      </c>
      <c r="E65" s="2">
        <v>90031.99</v>
      </c>
      <c r="F65" s="3">
        <v>82000</v>
      </c>
      <c r="G65" s="3">
        <v>8031.9900000000052</v>
      </c>
      <c r="H65" s="4">
        <v>9.7951097560975697E-2</v>
      </c>
      <c r="I65" t="s">
        <v>54</v>
      </c>
    </row>
    <row r="66" spans="1:9" x14ac:dyDescent="0.3">
      <c r="A66" s="1">
        <v>45717</v>
      </c>
      <c r="B66" t="s">
        <v>5</v>
      </c>
      <c r="C66" t="s">
        <v>9</v>
      </c>
      <c r="D66" t="s">
        <v>7</v>
      </c>
      <c r="E66" s="2">
        <v>129078.79</v>
      </c>
      <c r="F66" s="3">
        <v>115000</v>
      </c>
      <c r="G66" s="3">
        <v>14078.789999999994</v>
      </c>
      <c r="H66" s="4">
        <v>0.122424260869565</v>
      </c>
      <c r="I66" t="s">
        <v>54</v>
      </c>
    </row>
    <row r="67" spans="1:9" x14ac:dyDescent="0.3">
      <c r="A67" s="1">
        <v>45717</v>
      </c>
      <c r="B67" t="s">
        <v>5</v>
      </c>
      <c r="C67" t="s">
        <v>10</v>
      </c>
      <c r="D67" t="s">
        <v>11</v>
      </c>
      <c r="E67" s="2">
        <v>28870.400000000001</v>
      </c>
      <c r="F67" s="3">
        <v>24000</v>
      </c>
      <c r="G67" s="3">
        <v>4870.4000000000015</v>
      </c>
      <c r="H67" s="4">
        <v>0.20293333333333299</v>
      </c>
      <c r="I67" t="s">
        <v>54</v>
      </c>
    </row>
    <row r="68" spans="1:9" x14ac:dyDescent="0.3">
      <c r="A68" s="1">
        <v>45717</v>
      </c>
      <c r="B68" t="s">
        <v>5</v>
      </c>
      <c r="C68" t="s">
        <v>12</v>
      </c>
      <c r="D68" t="s">
        <v>11</v>
      </c>
      <c r="E68" s="2">
        <v>6967.41</v>
      </c>
      <c r="F68" s="3">
        <v>7500</v>
      </c>
      <c r="G68" s="3">
        <v>-532.59000000000015</v>
      </c>
      <c r="H68" s="4">
        <v>-7.1012000000000006E-2</v>
      </c>
      <c r="I68" t="s">
        <v>53</v>
      </c>
    </row>
    <row r="69" spans="1:9" x14ac:dyDescent="0.3">
      <c r="A69" s="1">
        <v>45717</v>
      </c>
      <c r="B69" t="s">
        <v>13</v>
      </c>
      <c r="C69" t="s">
        <v>14</v>
      </c>
      <c r="D69" t="s">
        <v>15</v>
      </c>
      <c r="E69" s="2">
        <v>32908.480000000003</v>
      </c>
      <c r="F69" s="3">
        <v>30000</v>
      </c>
      <c r="G69" s="3">
        <v>2908.4800000000032</v>
      </c>
      <c r="H69" s="4">
        <v>9.6949333333333401E-2</v>
      </c>
      <c r="I69" t="s">
        <v>53</v>
      </c>
    </row>
    <row r="70" spans="1:9" x14ac:dyDescent="0.3">
      <c r="A70" s="1">
        <v>45717</v>
      </c>
      <c r="B70" t="s">
        <v>13</v>
      </c>
      <c r="C70" t="s">
        <v>16</v>
      </c>
      <c r="D70" t="s">
        <v>11</v>
      </c>
      <c r="E70" s="2">
        <v>27793.31</v>
      </c>
      <c r="F70" s="3">
        <v>28000</v>
      </c>
      <c r="G70" s="3">
        <v>-206.68999999999869</v>
      </c>
      <c r="H70" s="4">
        <v>-7.3817857142856698E-3</v>
      </c>
      <c r="I70" t="s">
        <v>54</v>
      </c>
    </row>
    <row r="71" spans="1:9" x14ac:dyDescent="0.3">
      <c r="A71" s="1">
        <v>45717</v>
      </c>
      <c r="B71" t="s">
        <v>13</v>
      </c>
      <c r="C71" t="s">
        <v>17</v>
      </c>
      <c r="D71" t="s">
        <v>18</v>
      </c>
      <c r="E71" s="2">
        <v>8555.02</v>
      </c>
      <c r="F71" s="3">
        <v>7800</v>
      </c>
      <c r="G71" s="3">
        <v>755.02000000000044</v>
      </c>
      <c r="H71" s="4">
        <v>9.6797435897436002E-2</v>
      </c>
      <c r="I71" t="s">
        <v>53</v>
      </c>
    </row>
    <row r="72" spans="1:9" x14ac:dyDescent="0.3">
      <c r="A72" s="1">
        <v>45717</v>
      </c>
      <c r="B72" t="s">
        <v>13</v>
      </c>
      <c r="C72" t="s">
        <v>19</v>
      </c>
      <c r="D72" t="s">
        <v>15</v>
      </c>
      <c r="E72" s="2">
        <v>5182.08</v>
      </c>
      <c r="F72" s="3">
        <v>5500</v>
      </c>
      <c r="G72" s="3">
        <v>-317.92000000000007</v>
      </c>
      <c r="H72" s="4">
        <v>-5.7803636363636397E-2</v>
      </c>
      <c r="I72" t="s">
        <v>54</v>
      </c>
    </row>
    <row r="73" spans="1:9" x14ac:dyDescent="0.3">
      <c r="A73" s="1">
        <v>45717</v>
      </c>
      <c r="B73" t="s">
        <v>20</v>
      </c>
      <c r="C73" t="s">
        <v>21</v>
      </c>
      <c r="D73" t="s">
        <v>22</v>
      </c>
      <c r="E73" s="2">
        <v>63440.68</v>
      </c>
      <c r="F73" s="3">
        <v>40000</v>
      </c>
      <c r="G73" s="3">
        <v>23440.68</v>
      </c>
      <c r="H73" s="4">
        <v>0.58601700000000001</v>
      </c>
      <c r="I73" t="s">
        <v>53</v>
      </c>
    </row>
    <row r="74" spans="1:9" x14ac:dyDescent="0.3">
      <c r="A74" s="1">
        <v>45717</v>
      </c>
      <c r="B74" t="s">
        <v>20</v>
      </c>
      <c r="C74" t="s">
        <v>23</v>
      </c>
      <c r="D74" t="s">
        <v>7</v>
      </c>
      <c r="E74" s="2">
        <v>65978.559999999998</v>
      </c>
      <c r="F74" s="3">
        <v>65000</v>
      </c>
      <c r="G74" s="3">
        <v>978.55999999999767</v>
      </c>
      <c r="H74" s="4">
        <v>1.50547692307692E-2</v>
      </c>
      <c r="I74" t="s">
        <v>53</v>
      </c>
    </row>
    <row r="75" spans="1:9" x14ac:dyDescent="0.3">
      <c r="A75" s="1">
        <v>45717</v>
      </c>
      <c r="B75" t="s">
        <v>20</v>
      </c>
      <c r="C75" t="s">
        <v>24</v>
      </c>
      <c r="D75" t="s">
        <v>22</v>
      </c>
      <c r="E75" s="2">
        <v>34740.550000000003</v>
      </c>
      <c r="F75" s="3">
        <v>35000</v>
      </c>
      <c r="G75" s="3">
        <v>-259.44999999999709</v>
      </c>
      <c r="H75" s="4">
        <v>-7.4128571428570596E-3</v>
      </c>
      <c r="I75" t="s">
        <v>54</v>
      </c>
    </row>
    <row r="76" spans="1:9" x14ac:dyDescent="0.3">
      <c r="A76" s="1">
        <v>45717</v>
      </c>
      <c r="B76" t="s">
        <v>20</v>
      </c>
      <c r="C76" t="s">
        <v>25</v>
      </c>
      <c r="D76" t="s">
        <v>7</v>
      </c>
      <c r="E76" s="2">
        <v>24912.33</v>
      </c>
      <c r="F76" s="3">
        <v>21000</v>
      </c>
      <c r="G76" s="3">
        <v>3912.3300000000017</v>
      </c>
      <c r="H76" s="4">
        <v>0.18630142857142901</v>
      </c>
      <c r="I76" t="s">
        <v>53</v>
      </c>
    </row>
    <row r="77" spans="1:9" x14ac:dyDescent="0.3">
      <c r="A77" s="1">
        <v>45717</v>
      </c>
      <c r="B77" t="s">
        <v>20</v>
      </c>
      <c r="C77" t="s">
        <v>26</v>
      </c>
      <c r="D77" t="s">
        <v>22</v>
      </c>
      <c r="E77" s="2">
        <v>8411.2900000000009</v>
      </c>
      <c r="F77" s="3">
        <v>8500</v>
      </c>
      <c r="G77" s="3">
        <v>-88.709999999999127</v>
      </c>
      <c r="H77" s="4">
        <v>-1.04364705882352E-2</v>
      </c>
      <c r="I77" t="s">
        <v>54</v>
      </c>
    </row>
    <row r="78" spans="1:9" x14ac:dyDescent="0.3">
      <c r="A78" s="1">
        <v>45717</v>
      </c>
      <c r="B78" t="s">
        <v>20</v>
      </c>
      <c r="C78" t="s">
        <v>27</v>
      </c>
      <c r="D78" t="s">
        <v>22</v>
      </c>
      <c r="E78" s="2">
        <v>3497.46</v>
      </c>
      <c r="F78" s="3">
        <v>10000</v>
      </c>
      <c r="G78" s="3">
        <v>-6502.54</v>
      </c>
      <c r="H78" s="4">
        <v>-0.650254</v>
      </c>
      <c r="I78" t="s">
        <v>54</v>
      </c>
    </row>
    <row r="79" spans="1:9" x14ac:dyDescent="0.3">
      <c r="A79" s="1">
        <v>45717</v>
      </c>
      <c r="B79" t="s">
        <v>20</v>
      </c>
      <c r="C79" t="s">
        <v>28</v>
      </c>
      <c r="D79" t="s">
        <v>7</v>
      </c>
      <c r="E79" s="2">
        <v>4462.97</v>
      </c>
      <c r="F79" s="3">
        <v>4500</v>
      </c>
      <c r="G79" s="3">
        <v>-37.029999999999745</v>
      </c>
      <c r="H79" s="4">
        <v>-8.2288888888888308E-3</v>
      </c>
      <c r="I79" t="s">
        <v>54</v>
      </c>
    </row>
    <row r="80" spans="1:9" x14ac:dyDescent="0.3">
      <c r="A80" s="1">
        <v>45717</v>
      </c>
      <c r="B80" t="s">
        <v>29</v>
      </c>
      <c r="C80" t="s">
        <v>30</v>
      </c>
      <c r="D80" t="s">
        <v>31</v>
      </c>
      <c r="E80" s="2">
        <v>94106.54</v>
      </c>
      <c r="F80" s="3">
        <v>95000</v>
      </c>
      <c r="G80" s="3">
        <v>-893.4600000000064</v>
      </c>
      <c r="H80" s="4">
        <v>-9.4048421052632201E-3</v>
      </c>
      <c r="I80" t="s">
        <v>54</v>
      </c>
    </row>
    <row r="81" spans="1:9" x14ac:dyDescent="0.3">
      <c r="A81" s="1">
        <v>45717</v>
      </c>
      <c r="B81" t="s">
        <v>29</v>
      </c>
      <c r="C81" t="s">
        <v>32</v>
      </c>
      <c r="D81" t="s">
        <v>33</v>
      </c>
      <c r="E81" s="2">
        <v>39594.6</v>
      </c>
      <c r="F81" s="3">
        <v>40000</v>
      </c>
      <c r="G81" s="3">
        <v>-405.40000000000146</v>
      </c>
      <c r="H81" s="4">
        <v>-1.0135E-2</v>
      </c>
      <c r="I81" t="s">
        <v>54</v>
      </c>
    </row>
    <row r="82" spans="1:9" x14ac:dyDescent="0.3">
      <c r="A82" s="1">
        <v>45717</v>
      </c>
      <c r="B82" t="s">
        <v>29</v>
      </c>
      <c r="C82" t="s">
        <v>34</v>
      </c>
      <c r="D82" t="s">
        <v>31</v>
      </c>
      <c r="E82" s="2">
        <v>12147.28</v>
      </c>
      <c r="F82" s="3">
        <v>12000</v>
      </c>
      <c r="G82" s="3">
        <v>147.28000000000065</v>
      </c>
      <c r="H82" s="4">
        <v>1.22733333333334E-2</v>
      </c>
      <c r="I82" t="s">
        <v>53</v>
      </c>
    </row>
    <row r="83" spans="1:9" x14ac:dyDescent="0.3">
      <c r="A83" s="1">
        <v>45717</v>
      </c>
      <c r="B83" t="s">
        <v>29</v>
      </c>
      <c r="C83" t="s">
        <v>35</v>
      </c>
      <c r="D83" t="s">
        <v>31</v>
      </c>
      <c r="E83" s="2">
        <v>7430.58</v>
      </c>
      <c r="F83" s="3">
        <v>8500</v>
      </c>
      <c r="G83" s="3">
        <v>-1069.42</v>
      </c>
      <c r="H83" s="4">
        <v>-0.12581411764705899</v>
      </c>
      <c r="I83" t="s">
        <v>54</v>
      </c>
    </row>
    <row r="84" spans="1:9" x14ac:dyDescent="0.3">
      <c r="A84" s="1">
        <v>45717</v>
      </c>
      <c r="B84" t="s">
        <v>29</v>
      </c>
      <c r="C84" t="s">
        <v>36</v>
      </c>
      <c r="D84" t="s">
        <v>31</v>
      </c>
      <c r="E84" s="2">
        <v>6609.96</v>
      </c>
      <c r="F84" s="3">
        <v>6500</v>
      </c>
      <c r="G84" s="3">
        <v>109.96000000000004</v>
      </c>
      <c r="H84" s="4">
        <v>1.69169230769231E-2</v>
      </c>
      <c r="I84" t="s">
        <v>53</v>
      </c>
    </row>
    <row r="85" spans="1:9" x14ac:dyDescent="0.3">
      <c r="A85" s="1">
        <v>45717</v>
      </c>
      <c r="B85" t="s">
        <v>37</v>
      </c>
      <c r="C85" t="s">
        <v>38</v>
      </c>
      <c r="D85" t="s">
        <v>39</v>
      </c>
      <c r="E85" s="2">
        <v>55437.61</v>
      </c>
      <c r="F85" s="3">
        <v>55000</v>
      </c>
      <c r="G85" s="3">
        <v>437.61000000000058</v>
      </c>
      <c r="H85" s="4">
        <v>7.9565454545454592E-3</v>
      </c>
      <c r="I85" t="s">
        <v>53</v>
      </c>
    </row>
    <row r="86" spans="1:9" x14ac:dyDescent="0.3">
      <c r="A86" s="1">
        <v>45717</v>
      </c>
      <c r="B86" t="s">
        <v>37</v>
      </c>
      <c r="C86" t="s">
        <v>40</v>
      </c>
      <c r="D86" t="s">
        <v>18</v>
      </c>
      <c r="E86" s="2">
        <v>24899.4</v>
      </c>
      <c r="F86" s="3">
        <v>25000</v>
      </c>
      <c r="G86" s="3">
        <v>-100.59999999999854</v>
      </c>
      <c r="H86" s="4">
        <v>-4.02399999999994E-3</v>
      </c>
      <c r="I86" t="s">
        <v>54</v>
      </c>
    </row>
    <row r="87" spans="1:9" x14ac:dyDescent="0.3">
      <c r="A87" s="1">
        <v>45717</v>
      </c>
      <c r="B87" t="s">
        <v>37</v>
      </c>
      <c r="C87" t="s">
        <v>41</v>
      </c>
      <c r="D87" t="s">
        <v>15</v>
      </c>
      <c r="E87" s="2">
        <v>29663.18</v>
      </c>
      <c r="F87" s="3">
        <v>30000</v>
      </c>
      <c r="G87" s="3">
        <v>-336.81999999999971</v>
      </c>
      <c r="H87" s="4">
        <v>-1.1227333333333299E-2</v>
      </c>
      <c r="I87" t="s">
        <v>54</v>
      </c>
    </row>
    <row r="88" spans="1:9" x14ac:dyDescent="0.3">
      <c r="A88" s="1">
        <v>45717</v>
      </c>
      <c r="B88" t="s">
        <v>37</v>
      </c>
      <c r="C88" t="s">
        <v>42</v>
      </c>
      <c r="D88" t="s">
        <v>15</v>
      </c>
      <c r="E88" s="2">
        <v>18358.23</v>
      </c>
      <c r="F88" s="3">
        <v>18000</v>
      </c>
      <c r="G88" s="3">
        <v>358.22999999999956</v>
      </c>
      <c r="H88" s="4">
        <v>1.9901666666666599E-2</v>
      </c>
      <c r="I88" t="s">
        <v>53</v>
      </c>
    </row>
    <row r="89" spans="1:9" x14ac:dyDescent="0.3">
      <c r="A89" s="1">
        <v>45717</v>
      </c>
      <c r="B89" t="s">
        <v>37</v>
      </c>
      <c r="C89" t="s">
        <v>43</v>
      </c>
      <c r="D89" t="s">
        <v>18</v>
      </c>
      <c r="E89" s="2">
        <v>9492.8700000000008</v>
      </c>
      <c r="F89" s="3">
        <v>8500</v>
      </c>
      <c r="G89" s="3">
        <v>992.8700000000008</v>
      </c>
      <c r="H89" s="4">
        <v>0.116808235294118</v>
      </c>
      <c r="I89" t="s">
        <v>53</v>
      </c>
    </row>
    <row r="90" spans="1:9" x14ac:dyDescent="0.3">
      <c r="A90" s="1">
        <v>45717</v>
      </c>
      <c r="B90" t="s">
        <v>37</v>
      </c>
      <c r="C90" t="s">
        <v>44</v>
      </c>
      <c r="D90" t="s">
        <v>18</v>
      </c>
      <c r="E90" s="2">
        <v>7193.18</v>
      </c>
      <c r="F90" s="3">
        <v>7500</v>
      </c>
      <c r="G90" s="3">
        <v>-306.81999999999971</v>
      </c>
      <c r="H90" s="4">
        <v>-4.0909333333333298E-2</v>
      </c>
      <c r="I90" t="s">
        <v>54</v>
      </c>
    </row>
    <row r="91" spans="1:9" x14ac:dyDescent="0.3">
      <c r="A91" s="1">
        <v>45717</v>
      </c>
      <c r="B91" t="s">
        <v>37</v>
      </c>
      <c r="C91" t="s">
        <v>45</v>
      </c>
      <c r="D91" t="s">
        <v>15</v>
      </c>
      <c r="E91" s="2">
        <v>9531.4</v>
      </c>
      <c r="F91" s="3">
        <v>10000</v>
      </c>
      <c r="G91" s="3">
        <v>-468.60000000000036</v>
      </c>
      <c r="H91" s="4">
        <v>-4.6859999999999999E-2</v>
      </c>
      <c r="I91" t="s">
        <v>54</v>
      </c>
    </row>
    <row r="92" spans="1:9" x14ac:dyDescent="0.3">
      <c r="A92" s="1">
        <v>45717</v>
      </c>
      <c r="B92" t="s">
        <v>37</v>
      </c>
      <c r="C92" t="s">
        <v>46</v>
      </c>
      <c r="D92" t="s">
        <v>18</v>
      </c>
      <c r="E92" s="2">
        <v>4429.74</v>
      </c>
      <c r="F92" s="3">
        <v>4500</v>
      </c>
      <c r="G92" s="3">
        <v>-70.260000000000218</v>
      </c>
      <c r="H92" s="4">
        <v>-1.5613333333333399E-2</v>
      </c>
      <c r="I92" t="s">
        <v>54</v>
      </c>
    </row>
    <row r="93" spans="1:9" x14ac:dyDescent="0.3">
      <c r="A93" s="1">
        <v>45717</v>
      </c>
      <c r="B93" t="s">
        <v>37</v>
      </c>
      <c r="C93" t="s">
        <v>47</v>
      </c>
      <c r="D93" t="s">
        <v>15</v>
      </c>
      <c r="E93" s="2">
        <v>6305.87</v>
      </c>
      <c r="F93" s="3">
        <v>6000</v>
      </c>
      <c r="G93" s="3">
        <v>305.86999999999989</v>
      </c>
      <c r="H93" s="4">
        <v>5.0978333333333299E-2</v>
      </c>
      <c r="I93" t="s">
        <v>53</v>
      </c>
    </row>
    <row r="94" spans="1:9" x14ac:dyDescent="0.3">
      <c r="A94" s="1">
        <v>45717</v>
      </c>
      <c r="B94" t="s">
        <v>37</v>
      </c>
      <c r="C94" t="s">
        <v>48</v>
      </c>
      <c r="D94" t="s">
        <v>15</v>
      </c>
      <c r="E94" s="2">
        <v>2792.08</v>
      </c>
      <c r="F94" s="3">
        <v>2500</v>
      </c>
      <c r="G94" s="3">
        <v>292.07999999999993</v>
      </c>
      <c r="H94" s="4">
        <v>0.11683200000000001</v>
      </c>
      <c r="I94" t="s">
        <v>53</v>
      </c>
    </row>
    <row r="95" spans="1:9" x14ac:dyDescent="0.3">
      <c r="A95" s="1">
        <v>45748</v>
      </c>
      <c r="B95" t="s">
        <v>5</v>
      </c>
      <c r="C95" t="s">
        <v>6</v>
      </c>
      <c r="D95" t="s">
        <v>7</v>
      </c>
      <c r="E95" s="2">
        <v>47328.7</v>
      </c>
      <c r="F95" s="3">
        <v>43000</v>
      </c>
      <c r="G95" s="3">
        <v>4328.6999999999971</v>
      </c>
      <c r="H95" s="4">
        <v>0.100667441860465</v>
      </c>
      <c r="I95" t="s">
        <v>54</v>
      </c>
    </row>
    <row r="96" spans="1:9" x14ac:dyDescent="0.3">
      <c r="A96" s="1">
        <v>45748</v>
      </c>
      <c r="B96" t="s">
        <v>5</v>
      </c>
      <c r="C96" t="s">
        <v>8</v>
      </c>
      <c r="D96" t="s">
        <v>7</v>
      </c>
      <c r="E96" s="2">
        <v>86167.38</v>
      </c>
      <c r="F96" s="3">
        <v>82000</v>
      </c>
      <c r="G96" s="3">
        <v>4167.3800000000047</v>
      </c>
      <c r="H96" s="4">
        <v>5.0821707317073202E-2</v>
      </c>
      <c r="I96" t="s">
        <v>54</v>
      </c>
    </row>
    <row r="97" spans="1:9" x14ac:dyDescent="0.3">
      <c r="A97" s="1">
        <v>45748</v>
      </c>
      <c r="B97" t="s">
        <v>5</v>
      </c>
      <c r="C97" t="s">
        <v>9</v>
      </c>
      <c r="D97" t="s">
        <v>7</v>
      </c>
      <c r="E97" s="2">
        <v>125694.2</v>
      </c>
      <c r="F97" s="3">
        <v>115000</v>
      </c>
      <c r="G97" s="3">
        <v>10694.199999999997</v>
      </c>
      <c r="H97" s="4">
        <v>9.2993043478260803E-2</v>
      </c>
      <c r="I97" t="s">
        <v>54</v>
      </c>
    </row>
    <row r="98" spans="1:9" x14ac:dyDescent="0.3">
      <c r="A98" s="1">
        <v>45748</v>
      </c>
      <c r="B98" t="s">
        <v>5</v>
      </c>
      <c r="C98" t="s">
        <v>10</v>
      </c>
      <c r="D98" t="s">
        <v>11</v>
      </c>
      <c r="E98" s="2">
        <v>31758.89</v>
      </c>
      <c r="F98" s="3">
        <v>24000</v>
      </c>
      <c r="G98" s="3">
        <v>7758.8899999999994</v>
      </c>
      <c r="H98" s="4">
        <v>0.323287083333333</v>
      </c>
      <c r="I98" t="s">
        <v>54</v>
      </c>
    </row>
    <row r="99" spans="1:9" x14ac:dyDescent="0.3">
      <c r="A99" s="1">
        <v>45748</v>
      </c>
      <c r="B99" t="s">
        <v>5</v>
      </c>
      <c r="C99" t="s">
        <v>12</v>
      </c>
      <c r="D99" t="s">
        <v>11</v>
      </c>
      <c r="E99" s="2">
        <v>8628.1299999999992</v>
      </c>
      <c r="F99" s="3">
        <v>7500</v>
      </c>
      <c r="G99" s="3">
        <v>1128.1299999999992</v>
      </c>
      <c r="H99" s="4">
        <v>0.15041733333333299</v>
      </c>
      <c r="I99" t="s">
        <v>54</v>
      </c>
    </row>
    <row r="100" spans="1:9" x14ac:dyDescent="0.3">
      <c r="A100" s="1">
        <v>45748</v>
      </c>
      <c r="B100" t="s">
        <v>13</v>
      </c>
      <c r="C100" t="s">
        <v>14</v>
      </c>
      <c r="D100" t="s">
        <v>15</v>
      </c>
      <c r="E100" s="2">
        <v>41081.74</v>
      </c>
      <c r="F100" s="3">
        <v>30000</v>
      </c>
      <c r="G100" s="3">
        <v>11081.739999999998</v>
      </c>
      <c r="H100" s="4">
        <v>0.36939133333333302</v>
      </c>
      <c r="I100" t="s">
        <v>53</v>
      </c>
    </row>
    <row r="101" spans="1:9" x14ac:dyDescent="0.3">
      <c r="A101" s="1">
        <v>45748</v>
      </c>
      <c r="B101" t="s">
        <v>13</v>
      </c>
      <c r="C101" t="s">
        <v>16</v>
      </c>
      <c r="D101" t="s">
        <v>11</v>
      </c>
      <c r="E101" s="2">
        <v>28404.07</v>
      </c>
      <c r="F101" s="3">
        <v>28000</v>
      </c>
      <c r="G101" s="3">
        <v>404.06999999999971</v>
      </c>
      <c r="H101" s="4">
        <v>1.4431071428571401E-2</v>
      </c>
      <c r="I101" t="s">
        <v>53</v>
      </c>
    </row>
    <row r="102" spans="1:9" x14ac:dyDescent="0.3">
      <c r="A102" s="1">
        <v>45748</v>
      </c>
      <c r="B102" t="s">
        <v>13</v>
      </c>
      <c r="C102" t="s">
        <v>17</v>
      </c>
      <c r="D102" t="s">
        <v>18</v>
      </c>
      <c r="E102" s="2">
        <v>8263.33</v>
      </c>
      <c r="F102" s="3">
        <v>7800</v>
      </c>
      <c r="G102" s="3">
        <v>463.32999999999993</v>
      </c>
      <c r="H102" s="4">
        <v>5.9401282051281999E-2</v>
      </c>
      <c r="I102" t="s">
        <v>53</v>
      </c>
    </row>
    <row r="103" spans="1:9" x14ac:dyDescent="0.3">
      <c r="A103" s="1">
        <v>45748</v>
      </c>
      <c r="B103" t="s">
        <v>13</v>
      </c>
      <c r="C103" t="s">
        <v>19</v>
      </c>
      <c r="D103" t="s">
        <v>15</v>
      </c>
      <c r="E103" s="2">
        <v>5742.79</v>
      </c>
      <c r="F103" s="3">
        <v>5500</v>
      </c>
      <c r="G103" s="3">
        <v>242.78999999999996</v>
      </c>
      <c r="H103" s="4">
        <v>4.4143636363636399E-2</v>
      </c>
      <c r="I103" t="s">
        <v>53</v>
      </c>
    </row>
    <row r="104" spans="1:9" x14ac:dyDescent="0.3">
      <c r="A104" s="1">
        <v>45748</v>
      </c>
      <c r="B104" t="s">
        <v>20</v>
      </c>
      <c r="C104" t="s">
        <v>21</v>
      </c>
      <c r="D104" t="s">
        <v>22</v>
      </c>
      <c r="E104" s="2">
        <v>45817.7</v>
      </c>
      <c r="F104" s="3">
        <v>40000</v>
      </c>
      <c r="G104" s="3">
        <v>5817.6999999999971</v>
      </c>
      <c r="H104" s="4">
        <v>0.1454425</v>
      </c>
      <c r="I104" t="s">
        <v>53</v>
      </c>
    </row>
    <row r="105" spans="1:9" x14ac:dyDescent="0.3">
      <c r="A105" s="1">
        <v>45748</v>
      </c>
      <c r="B105" t="s">
        <v>20</v>
      </c>
      <c r="C105" t="s">
        <v>23</v>
      </c>
      <c r="D105" t="s">
        <v>7</v>
      </c>
      <c r="E105" s="2">
        <v>65096.12</v>
      </c>
      <c r="F105" s="3">
        <v>65000</v>
      </c>
      <c r="G105" s="3">
        <v>96.120000000002619</v>
      </c>
      <c r="H105" s="4">
        <v>1.47876923076927E-3</v>
      </c>
      <c r="I105" t="s">
        <v>53</v>
      </c>
    </row>
    <row r="106" spans="1:9" x14ac:dyDescent="0.3">
      <c r="A106" s="1">
        <v>45748</v>
      </c>
      <c r="B106" t="s">
        <v>20</v>
      </c>
      <c r="C106" t="s">
        <v>24</v>
      </c>
      <c r="D106" t="s">
        <v>22</v>
      </c>
      <c r="E106" s="2">
        <v>34673.56</v>
      </c>
      <c r="F106" s="3">
        <v>35000</v>
      </c>
      <c r="G106" s="3">
        <v>-326.44000000000233</v>
      </c>
      <c r="H106" s="4">
        <v>-9.3268571428572096E-3</v>
      </c>
      <c r="I106" t="s">
        <v>54</v>
      </c>
    </row>
    <row r="107" spans="1:9" x14ac:dyDescent="0.3">
      <c r="A107" s="1">
        <v>45748</v>
      </c>
      <c r="B107" t="s">
        <v>20</v>
      </c>
      <c r="C107" t="s">
        <v>25</v>
      </c>
      <c r="D107" t="s">
        <v>7</v>
      </c>
      <c r="E107" s="2">
        <v>24641.85</v>
      </c>
      <c r="F107" s="3">
        <v>21000</v>
      </c>
      <c r="G107" s="3">
        <v>3641.8499999999985</v>
      </c>
      <c r="H107" s="4">
        <v>0.173421428571428</v>
      </c>
      <c r="I107" t="s">
        <v>53</v>
      </c>
    </row>
    <row r="108" spans="1:9" x14ac:dyDescent="0.3">
      <c r="A108" s="1">
        <v>45748</v>
      </c>
      <c r="B108" t="s">
        <v>20</v>
      </c>
      <c r="C108" t="s">
        <v>26</v>
      </c>
      <c r="D108" t="s">
        <v>22</v>
      </c>
      <c r="E108" s="2">
        <v>8169.82</v>
      </c>
      <c r="F108" s="3">
        <v>8500</v>
      </c>
      <c r="G108" s="3">
        <v>-330.18000000000029</v>
      </c>
      <c r="H108" s="4">
        <v>-3.8844705882353003E-2</v>
      </c>
      <c r="I108" t="s">
        <v>54</v>
      </c>
    </row>
    <row r="109" spans="1:9" x14ac:dyDescent="0.3">
      <c r="A109" s="1">
        <v>45748</v>
      </c>
      <c r="B109" t="s">
        <v>20</v>
      </c>
      <c r="C109" t="s">
        <v>27</v>
      </c>
      <c r="D109" t="s">
        <v>22</v>
      </c>
      <c r="E109" s="2">
        <v>12782.34</v>
      </c>
      <c r="F109" s="3">
        <v>10000</v>
      </c>
      <c r="G109" s="3">
        <v>2782.34</v>
      </c>
      <c r="H109" s="4">
        <v>0.27823399999999998</v>
      </c>
      <c r="I109" t="s">
        <v>53</v>
      </c>
    </row>
    <row r="110" spans="1:9" x14ac:dyDescent="0.3">
      <c r="A110" s="1">
        <v>45748</v>
      </c>
      <c r="B110" t="s">
        <v>20</v>
      </c>
      <c r="C110" t="s">
        <v>28</v>
      </c>
      <c r="D110" t="s">
        <v>7</v>
      </c>
      <c r="E110" s="2">
        <v>4458.3500000000004</v>
      </c>
      <c r="F110" s="3">
        <v>4500</v>
      </c>
      <c r="G110" s="3">
        <v>-41.649999999999636</v>
      </c>
      <c r="H110" s="4">
        <v>-9.2555555555554805E-3</v>
      </c>
      <c r="I110" t="s">
        <v>54</v>
      </c>
    </row>
    <row r="111" spans="1:9" x14ac:dyDescent="0.3">
      <c r="A111" s="1">
        <v>45748</v>
      </c>
      <c r="B111" t="s">
        <v>29</v>
      </c>
      <c r="C111" t="s">
        <v>30</v>
      </c>
      <c r="D111" t="s">
        <v>31</v>
      </c>
      <c r="E111" s="2">
        <v>96724.5</v>
      </c>
      <c r="F111" s="3">
        <v>95000</v>
      </c>
      <c r="G111" s="3">
        <v>1724.5</v>
      </c>
      <c r="H111" s="4">
        <v>1.8152631578947399E-2</v>
      </c>
      <c r="I111" t="s">
        <v>53</v>
      </c>
    </row>
    <row r="112" spans="1:9" x14ac:dyDescent="0.3">
      <c r="A112" s="1">
        <v>45748</v>
      </c>
      <c r="B112" t="s">
        <v>29</v>
      </c>
      <c r="C112" t="s">
        <v>32</v>
      </c>
      <c r="D112" t="s">
        <v>33</v>
      </c>
      <c r="E112" s="2">
        <v>40601.360000000001</v>
      </c>
      <c r="F112" s="3">
        <v>40000</v>
      </c>
      <c r="G112" s="3">
        <v>601.36000000000058</v>
      </c>
      <c r="H112" s="4">
        <v>1.5034E-2</v>
      </c>
      <c r="I112" t="s">
        <v>53</v>
      </c>
    </row>
    <row r="113" spans="1:9" x14ac:dyDescent="0.3">
      <c r="A113" s="1">
        <v>45748</v>
      </c>
      <c r="B113" t="s">
        <v>29</v>
      </c>
      <c r="C113" t="s">
        <v>34</v>
      </c>
      <c r="D113" t="s">
        <v>31</v>
      </c>
      <c r="E113" s="2">
        <v>11432.13</v>
      </c>
      <c r="F113" s="3">
        <v>12000</v>
      </c>
      <c r="G113" s="3">
        <v>-567.8700000000008</v>
      </c>
      <c r="H113" s="4">
        <v>-4.7322500000000101E-2</v>
      </c>
      <c r="I113" t="s">
        <v>54</v>
      </c>
    </row>
    <row r="114" spans="1:9" x14ac:dyDescent="0.3">
      <c r="A114" s="1">
        <v>45748</v>
      </c>
      <c r="B114" t="s">
        <v>29</v>
      </c>
      <c r="C114" t="s">
        <v>35</v>
      </c>
      <c r="D114" t="s">
        <v>31</v>
      </c>
      <c r="E114" s="2">
        <v>8001.41</v>
      </c>
      <c r="F114" s="3">
        <v>8500</v>
      </c>
      <c r="G114" s="3">
        <v>-498.59000000000015</v>
      </c>
      <c r="H114" s="4">
        <v>-5.8657647058823502E-2</v>
      </c>
      <c r="I114" t="s">
        <v>54</v>
      </c>
    </row>
    <row r="115" spans="1:9" x14ac:dyDescent="0.3">
      <c r="A115" s="1">
        <v>45748</v>
      </c>
      <c r="B115" t="s">
        <v>29</v>
      </c>
      <c r="C115" t="s">
        <v>36</v>
      </c>
      <c r="D115" t="s">
        <v>31</v>
      </c>
      <c r="E115" s="2">
        <v>6082.25</v>
      </c>
      <c r="F115" s="3">
        <v>6500</v>
      </c>
      <c r="G115" s="3">
        <v>-417.75</v>
      </c>
      <c r="H115" s="4">
        <v>-6.4269230769230801E-2</v>
      </c>
      <c r="I115" t="s">
        <v>54</v>
      </c>
    </row>
    <row r="116" spans="1:9" x14ac:dyDescent="0.3">
      <c r="A116" s="1">
        <v>45748</v>
      </c>
      <c r="B116" t="s">
        <v>37</v>
      </c>
      <c r="C116" t="s">
        <v>38</v>
      </c>
      <c r="D116" t="s">
        <v>39</v>
      </c>
      <c r="E116" s="2">
        <v>55453.89</v>
      </c>
      <c r="F116" s="3">
        <v>55000</v>
      </c>
      <c r="G116" s="3">
        <v>453.88999999999942</v>
      </c>
      <c r="H116" s="4">
        <v>8.2525454545454395E-3</v>
      </c>
      <c r="I116" t="s">
        <v>53</v>
      </c>
    </row>
    <row r="117" spans="1:9" x14ac:dyDescent="0.3">
      <c r="A117" s="1">
        <v>45748</v>
      </c>
      <c r="B117" t="s">
        <v>37</v>
      </c>
      <c r="C117" t="s">
        <v>40</v>
      </c>
      <c r="D117" t="s">
        <v>18</v>
      </c>
      <c r="E117" s="2">
        <v>25370.52</v>
      </c>
      <c r="F117" s="3">
        <v>25000</v>
      </c>
      <c r="G117" s="3">
        <v>370.52000000000044</v>
      </c>
      <c r="H117" s="4">
        <v>1.48208E-2</v>
      </c>
      <c r="I117" t="s">
        <v>53</v>
      </c>
    </row>
    <row r="118" spans="1:9" x14ac:dyDescent="0.3">
      <c r="A118" s="1">
        <v>45748</v>
      </c>
      <c r="B118" t="s">
        <v>37</v>
      </c>
      <c r="C118" t="s">
        <v>41</v>
      </c>
      <c r="D118" t="s">
        <v>15</v>
      </c>
      <c r="E118" s="2">
        <v>29758.13</v>
      </c>
      <c r="F118" s="3">
        <v>30000</v>
      </c>
      <c r="G118" s="3">
        <v>-241.86999999999898</v>
      </c>
      <c r="H118" s="4">
        <v>-8.0623333333332999E-3</v>
      </c>
      <c r="I118" t="s">
        <v>54</v>
      </c>
    </row>
    <row r="119" spans="1:9" x14ac:dyDescent="0.3">
      <c r="A119" s="1">
        <v>45748</v>
      </c>
      <c r="B119" t="s">
        <v>37</v>
      </c>
      <c r="C119" t="s">
        <v>42</v>
      </c>
      <c r="D119" t="s">
        <v>15</v>
      </c>
      <c r="E119" s="2">
        <v>18100.04</v>
      </c>
      <c r="F119" s="3">
        <v>18000</v>
      </c>
      <c r="G119" s="3">
        <v>100.04000000000087</v>
      </c>
      <c r="H119" s="4">
        <v>5.5577777777778298E-3</v>
      </c>
      <c r="I119" t="s">
        <v>53</v>
      </c>
    </row>
    <row r="120" spans="1:9" x14ac:dyDescent="0.3">
      <c r="A120" s="1">
        <v>45748</v>
      </c>
      <c r="B120" t="s">
        <v>37</v>
      </c>
      <c r="C120" t="s">
        <v>43</v>
      </c>
      <c r="D120" t="s">
        <v>18</v>
      </c>
      <c r="E120" s="2">
        <v>9940.3700000000008</v>
      </c>
      <c r="F120" s="3">
        <v>8500</v>
      </c>
      <c r="G120" s="3">
        <v>1440.3700000000008</v>
      </c>
      <c r="H120" s="4">
        <v>0.16945529411764701</v>
      </c>
      <c r="I120" t="s">
        <v>53</v>
      </c>
    </row>
    <row r="121" spans="1:9" x14ac:dyDescent="0.3">
      <c r="A121" s="1">
        <v>45748</v>
      </c>
      <c r="B121" t="s">
        <v>37</v>
      </c>
      <c r="C121" t="s">
        <v>44</v>
      </c>
      <c r="D121" t="s">
        <v>18</v>
      </c>
      <c r="E121" s="2">
        <v>7239.63</v>
      </c>
      <c r="F121" s="3">
        <v>7500</v>
      </c>
      <c r="G121" s="3">
        <v>-260.36999999999989</v>
      </c>
      <c r="H121" s="4">
        <v>-3.4715999999999997E-2</v>
      </c>
      <c r="I121" t="s">
        <v>54</v>
      </c>
    </row>
    <row r="122" spans="1:9" x14ac:dyDescent="0.3">
      <c r="A122" s="1">
        <v>45748</v>
      </c>
      <c r="B122" t="s">
        <v>37</v>
      </c>
      <c r="C122" t="s">
        <v>45</v>
      </c>
      <c r="D122" t="s">
        <v>15</v>
      </c>
      <c r="E122" s="2">
        <v>12285.67</v>
      </c>
      <c r="F122" s="3">
        <v>10000</v>
      </c>
      <c r="G122" s="3">
        <v>2285.67</v>
      </c>
      <c r="H122" s="4">
        <v>0.22856699999999999</v>
      </c>
      <c r="I122" t="s">
        <v>53</v>
      </c>
    </row>
    <row r="123" spans="1:9" x14ac:dyDescent="0.3">
      <c r="A123" s="1">
        <v>45748</v>
      </c>
      <c r="B123" t="s">
        <v>37</v>
      </c>
      <c r="C123" t="s">
        <v>46</v>
      </c>
      <c r="D123" t="s">
        <v>18</v>
      </c>
      <c r="E123" s="2">
        <v>4507.09</v>
      </c>
      <c r="F123" s="3">
        <v>4500</v>
      </c>
      <c r="G123" s="3">
        <v>7.0900000000001455</v>
      </c>
      <c r="H123" s="4">
        <v>1.57555555555559E-3</v>
      </c>
      <c r="I123" t="s">
        <v>53</v>
      </c>
    </row>
    <row r="124" spans="1:9" x14ac:dyDescent="0.3">
      <c r="A124" s="1">
        <v>45748</v>
      </c>
      <c r="B124" t="s">
        <v>37</v>
      </c>
      <c r="C124" t="s">
        <v>47</v>
      </c>
      <c r="D124" t="s">
        <v>15</v>
      </c>
      <c r="E124" s="2">
        <v>6668.7</v>
      </c>
      <c r="F124" s="3">
        <v>6000</v>
      </c>
      <c r="G124" s="3">
        <v>668.69999999999982</v>
      </c>
      <c r="H124" s="4">
        <v>0.11144999999999999</v>
      </c>
      <c r="I124" t="s">
        <v>53</v>
      </c>
    </row>
    <row r="125" spans="1:9" x14ac:dyDescent="0.3">
      <c r="A125" s="1">
        <v>45748</v>
      </c>
      <c r="B125" t="s">
        <v>37</v>
      </c>
      <c r="C125" t="s">
        <v>48</v>
      </c>
      <c r="D125" t="s">
        <v>15</v>
      </c>
      <c r="E125" s="2">
        <v>2530.35</v>
      </c>
      <c r="F125" s="3">
        <v>2500</v>
      </c>
      <c r="G125" s="3">
        <v>30.349999999999909</v>
      </c>
      <c r="H125" s="4">
        <v>1.214E-2</v>
      </c>
      <c r="I125" t="s">
        <v>53</v>
      </c>
    </row>
    <row r="126" spans="1:9" x14ac:dyDescent="0.3">
      <c r="A126" s="1">
        <v>45778</v>
      </c>
      <c r="B126" t="s">
        <v>5</v>
      </c>
      <c r="C126" t="s">
        <v>6</v>
      </c>
      <c r="D126" t="s">
        <v>7</v>
      </c>
      <c r="E126" s="2">
        <v>46172.78</v>
      </c>
      <c r="F126" s="3">
        <v>43000</v>
      </c>
      <c r="G126" s="3">
        <v>3172.7799999999988</v>
      </c>
      <c r="H126" s="4">
        <v>7.3785581395348798E-2</v>
      </c>
      <c r="I126" t="s">
        <v>54</v>
      </c>
    </row>
    <row r="127" spans="1:9" x14ac:dyDescent="0.3">
      <c r="A127" s="1">
        <v>45778</v>
      </c>
      <c r="B127" t="s">
        <v>5</v>
      </c>
      <c r="C127" t="s">
        <v>8</v>
      </c>
      <c r="D127" t="s">
        <v>7</v>
      </c>
      <c r="E127" s="2">
        <v>90185.75</v>
      </c>
      <c r="F127" s="3">
        <v>82000</v>
      </c>
      <c r="G127" s="3">
        <v>8185.75</v>
      </c>
      <c r="H127" s="4">
        <v>9.98262195121951E-2</v>
      </c>
      <c r="I127" t="s">
        <v>54</v>
      </c>
    </row>
    <row r="128" spans="1:9" x14ac:dyDescent="0.3">
      <c r="A128" s="1">
        <v>45778</v>
      </c>
      <c r="B128" t="s">
        <v>5</v>
      </c>
      <c r="C128" t="s">
        <v>9</v>
      </c>
      <c r="D128" t="s">
        <v>7</v>
      </c>
      <c r="E128" s="2">
        <v>123372.42</v>
      </c>
      <c r="F128" s="3">
        <v>115000</v>
      </c>
      <c r="G128" s="3">
        <v>8372.4199999999983</v>
      </c>
      <c r="H128" s="4">
        <v>7.2803652173913005E-2</v>
      </c>
      <c r="I128" t="s">
        <v>54</v>
      </c>
    </row>
    <row r="129" spans="1:9" x14ac:dyDescent="0.3">
      <c r="A129" s="1">
        <v>45778</v>
      </c>
      <c r="B129" t="s">
        <v>5</v>
      </c>
      <c r="C129" t="s">
        <v>10</v>
      </c>
      <c r="D129" t="s">
        <v>11</v>
      </c>
      <c r="E129" s="2">
        <v>31634.27</v>
      </c>
      <c r="F129" s="3">
        <v>24000</v>
      </c>
      <c r="G129" s="3">
        <v>7634.27</v>
      </c>
      <c r="H129" s="4">
        <v>0.31809458333333301</v>
      </c>
      <c r="I129" t="s">
        <v>54</v>
      </c>
    </row>
    <row r="130" spans="1:9" x14ac:dyDescent="0.3">
      <c r="A130" s="1">
        <v>45778</v>
      </c>
      <c r="B130" t="s">
        <v>5</v>
      </c>
      <c r="C130" t="s">
        <v>12</v>
      </c>
      <c r="D130" t="s">
        <v>11</v>
      </c>
      <c r="E130" s="2">
        <v>10603.29</v>
      </c>
      <c r="F130" s="3">
        <v>7500</v>
      </c>
      <c r="G130" s="3">
        <v>3103.2900000000009</v>
      </c>
      <c r="H130" s="4">
        <v>0.41377199999999997</v>
      </c>
      <c r="I130" t="s">
        <v>54</v>
      </c>
    </row>
    <row r="131" spans="1:9" x14ac:dyDescent="0.3">
      <c r="A131" s="1">
        <v>45778</v>
      </c>
      <c r="B131" t="s">
        <v>13</v>
      </c>
      <c r="C131" t="s">
        <v>14</v>
      </c>
      <c r="D131" t="s">
        <v>15</v>
      </c>
      <c r="E131" s="2">
        <v>40146.699999999997</v>
      </c>
      <c r="F131" s="3">
        <v>30000</v>
      </c>
      <c r="G131" s="3">
        <v>10146.699999999997</v>
      </c>
      <c r="H131" s="4">
        <v>0.33822333333333299</v>
      </c>
      <c r="I131" t="s">
        <v>53</v>
      </c>
    </row>
    <row r="132" spans="1:9" x14ac:dyDescent="0.3">
      <c r="A132" s="1">
        <v>45778</v>
      </c>
      <c r="B132" t="s">
        <v>13</v>
      </c>
      <c r="C132" t="s">
        <v>16</v>
      </c>
      <c r="D132" t="s">
        <v>11</v>
      </c>
      <c r="E132" s="2">
        <v>27784.42</v>
      </c>
      <c r="F132" s="3">
        <v>28000</v>
      </c>
      <c r="G132" s="3">
        <v>-215.58000000000175</v>
      </c>
      <c r="H132" s="4">
        <v>-7.69928571428578E-3</v>
      </c>
      <c r="I132" t="s">
        <v>54</v>
      </c>
    </row>
    <row r="133" spans="1:9" x14ac:dyDescent="0.3">
      <c r="A133" s="1">
        <v>45778</v>
      </c>
      <c r="B133" t="s">
        <v>13</v>
      </c>
      <c r="C133" t="s">
        <v>17</v>
      </c>
      <c r="D133" t="s">
        <v>18</v>
      </c>
      <c r="E133" s="2">
        <v>8369.9599999999991</v>
      </c>
      <c r="F133" s="3">
        <v>7800</v>
      </c>
      <c r="G133" s="3">
        <v>569.95999999999913</v>
      </c>
      <c r="H133" s="4">
        <v>7.3071794871794798E-2</v>
      </c>
      <c r="I133" t="s">
        <v>53</v>
      </c>
    </row>
    <row r="134" spans="1:9" x14ac:dyDescent="0.3">
      <c r="A134" s="1">
        <v>45778</v>
      </c>
      <c r="B134" t="s">
        <v>13</v>
      </c>
      <c r="C134" t="s">
        <v>19</v>
      </c>
      <c r="D134" t="s">
        <v>15</v>
      </c>
      <c r="E134" s="2">
        <v>5915.81</v>
      </c>
      <c r="F134" s="3">
        <v>5500</v>
      </c>
      <c r="G134" s="3">
        <v>415.8100000000004</v>
      </c>
      <c r="H134" s="4">
        <v>7.5601818181818201E-2</v>
      </c>
      <c r="I134" t="s">
        <v>53</v>
      </c>
    </row>
    <row r="135" spans="1:9" x14ac:dyDescent="0.3">
      <c r="A135" s="1">
        <v>45778</v>
      </c>
      <c r="B135" t="s">
        <v>20</v>
      </c>
      <c r="C135" t="s">
        <v>21</v>
      </c>
      <c r="D135" t="s">
        <v>22</v>
      </c>
      <c r="E135" s="2">
        <v>47011.27</v>
      </c>
      <c r="F135" s="3">
        <v>40000</v>
      </c>
      <c r="G135" s="3">
        <v>7011.2699999999968</v>
      </c>
      <c r="H135" s="4">
        <v>0.17528174999999999</v>
      </c>
      <c r="I135" t="s">
        <v>53</v>
      </c>
    </row>
    <row r="136" spans="1:9" x14ac:dyDescent="0.3">
      <c r="A136" s="1">
        <v>45778</v>
      </c>
      <c r="B136" t="s">
        <v>20</v>
      </c>
      <c r="C136" t="s">
        <v>23</v>
      </c>
      <c r="D136" t="s">
        <v>7</v>
      </c>
      <c r="E136" s="2">
        <v>63922.7</v>
      </c>
      <c r="F136" s="3">
        <v>65000</v>
      </c>
      <c r="G136" s="3">
        <v>-1077.3000000000029</v>
      </c>
      <c r="H136" s="4">
        <v>-1.6573846153846199E-2</v>
      </c>
      <c r="I136" t="s">
        <v>54</v>
      </c>
    </row>
    <row r="137" spans="1:9" x14ac:dyDescent="0.3">
      <c r="A137" s="1">
        <v>45778</v>
      </c>
      <c r="B137" t="s">
        <v>20</v>
      </c>
      <c r="C137" t="s">
        <v>24</v>
      </c>
      <c r="D137" t="s">
        <v>22</v>
      </c>
      <c r="E137" s="2">
        <v>34980.39</v>
      </c>
      <c r="F137" s="3">
        <v>35000</v>
      </c>
      <c r="G137" s="3">
        <v>-19.610000000000582</v>
      </c>
      <c r="H137" s="4">
        <v>-5.6028571428573103E-4</v>
      </c>
      <c r="I137" t="s">
        <v>54</v>
      </c>
    </row>
    <row r="138" spans="1:9" x14ac:dyDescent="0.3">
      <c r="A138" s="1">
        <v>45778</v>
      </c>
      <c r="B138" t="s">
        <v>20</v>
      </c>
      <c r="C138" t="s">
        <v>25</v>
      </c>
      <c r="D138" t="s">
        <v>7</v>
      </c>
      <c r="E138" s="2">
        <v>22076.13</v>
      </c>
      <c r="F138" s="3">
        <v>21000</v>
      </c>
      <c r="G138" s="3">
        <v>1076.130000000001</v>
      </c>
      <c r="H138" s="4">
        <v>5.1244285714285798E-2</v>
      </c>
      <c r="I138" t="s">
        <v>53</v>
      </c>
    </row>
    <row r="139" spans="1:9" x14ac:dyDescent="0.3">
      <c r="A139" s="1">
        <v>45778</v>
      </c>
      <c r="B139" t="s">
        <v>20</v>
      </c>
      <c r="C139" t="s">
        <v>26</v>
      </c>
      <c r="D139" t="s">
        <v>22</v>
      </c>
      <c r="E139" s="2">
        <v>8721.51</v>
      </c>
      <c r="F139" s="3">
        <v>8500</v>
      </c>
      <c r="G139" s="3">
        <v>221.51000000000022</v>
      </c>
      <c r="H139" s="4">
        <v>2.606E-2</v>
      </c>
      <c r="I139" t="s">
        <v>53</v>
      </c>
    </row>
    <row r="140" spans="1:9" x14ac:dyDescent="0.3">
      <c r="A140" s="1">
        <v>45778</v>
      </c>
      <c r="B140" t="s">
        <v>20</v>
      </c>
      <c r="C140" t="s">
        <v>27</v>
      </c>
      <c r="D140" t="s">
        <v>22</v>
      </c>
      <c r="E140" s="2">
        <v>7558.77</v>
      </c>
      <c r="F140" s="3">
        <v>10000</v>
      </c>
      <c r="G140" s="3">
        <v>-2441.2299999999996</v>
      </c>
      <c r="H140" s="4">
        <v>-0.24412300000000001</v>
      </c>
      <c r="I140" t="s">
        <v>54</v>
      </c>
    </row>
    <row r="141" spans="1:9" x14ac:dyDescent="0.3">
      <c r="A141" s="1">
        <v>45778</v>
      </c>
      <c r="B141" t="s">
        <v>20</v>
      </c>
      <c r="C141" t="s">
        <v>28</v>
      </c>
      <c r="D141" t="s">
        <v>7</v>
      </c>
      <c r="E141" s="2">
        <v>4165.55</v>
      </c>
      <c r="F141" s="3">
        <v>4500</v>
      </c>
      <c r="G141" s="3">
        <v>-334.44999999999982</v>
      </c>
      <c r="H141" s="4">
        <v>-7.4322222222222206E-2</v>
      </c>
      <c r="I141" t="s">
        <v>54</v>
      </c>
    </row>
    <row r="142" spans="1:9" x14ac:dyDescent="0.3">
      <c r="A142" s="1">
        <v>45778</v>
      </c>
      <c r="B142" t="s">
        <v>29</v>
      </c>
      <c r="C142" t="s">
        <v>30</v>
      </c>
      <c r="D142" t="s">
        <v>31</v>
      </c>
      <c r="E142" s="2">
        <v>94906.07</v>
      </c>
      <c r="F142" s="3">
        <v>95000</v>
      </c>
      <c r="G142" s="3">
        <v>-93.929999999993015</v>
      </c>
      <c r="H142" s="4">
        <v>-9.8873684210519009E-4</v>
      </c>
      <c r="I142" t="s">
        <v>54</v>
      </c>
    </row>
    <row r="143" spans="1:9" x14ac:dyDescent="0.3">
      <c r="A143" s="1">
        <v>45778</v>
      </c>
      <c r="B143" t="s">
        <v>29</v>
      </c>
      <c r="C143" t="s">
        <v>32</v>
      </c>
      <c r="D143" t="s">
        <v>33</v>
      </c>
      <c r="E143" s="2">
        <v>40079.69</v>
      </c>
      <c r="F143" s="3">
        <v>40000</v>
      </c>
      <c r="G143" s="3">
        <v>79.690000000002328</v>
      </c>
      <c r="H143" s="4">
        <v>1.9922500000000599E-3</v>
      </c>
      <c r="I143" t="s">
        <v>53</v>
      </c>
    </row>
    <row r="144" spans="1:9" x14ac:dyDescent="0.3">
      <c r="A144" s="1">
        <v>45778</v>
      </c>
      <c r="B144" t="s">
        <v>29</v>
      </c>
      <c r="C144" t="s">
        <v>34</v>
      </c>
      <c r="D144" t="s">
        <v>31</v>
      </c>
      <c r="E144" s="2">
        <v>11436.14</v>
      </c>
      <c r="F144" s="3">
        <v>12000</v>
      </c>
      <c r="G144" s="3">
        <v>-563.86000000000058</v>
      </c>
      <c r="H144" s="4">
        <v>-4.6988333333333403E-2</v>
      </c>
      <c r="I144" t="s">
        <v>54</v>
      </c>
    </row>
    <row r="145" spans="1:9" x14ac:dyDescent="0.3">
      <c r="A145" s="1">
        <v>45778</v>
      </c>
      <c r="B145" t="s">
        <v>29</v>
      </c>
      <c r="C145" t="s">
        <v>35</v>
      </c>
      <c r="D145" t="s">
        <v>31</v>
      </c>
      <c r="E145" s="2">
        <v>8893.84</v>
      </c>
      <c r="F145" s="3">
        <v>8500</v>
      </c>
      <c r="G145" s="3">
        <v>393.84000000000015</v>
      </c>
      <c r="H145" s="4">
        <v>4.6334117647058803E-2</v>
      </c>
      <c r="I145" t="s">
        <v>53</v>
      </c>
    </row>
    <row r="146" spans="1:9" x14ac:dyDescent="0.3">
      <c r="A146" s="1">
        <v>45778</v>
      </c>
      <c r="B146" t="s">
        <v>29</v>
      </c>
      <c r="C146" t="s">
        <v>36</v>
      </c>
      <c r="D146" t="s">
        <v>31</v>
      </c>
      <c r="E146" s="2">
        <v>6400.08</v>
      </c>
      <c r="F146" s="3">
        <v>6500</v>
      </c>
      <c r="G146" s="3">
        <v>-99.920000000000073</v>
      </c>
      <c r="H146" s="4">
        <v>-1.5372307692307701E-2</v>
      </c>
      <c r="I146" t="s">
        <v>54</v>
      </c>
    </row>
    <row r="147" spans="1:9" x14ac:dyDescent="0.3">
      <c r="A147" s="1">
        <v>45778</v>
      </c>
      <c r="B147" t="s">
        <v>37</v>
      </c>
      <c r="C147" t="s">
        <v>38</v>
      </c>
      <c r="D147" t="s">
        <v>39</v>
      </c>
      <c r="E147" s="2">
        <v>54682.98</v>
      </c>
      <c r="F147" s="3">
        <v>55000</v>
      </c>
      <c r="G147" s="3">
        <v>-317.0199999999968</v>
      </c>
      <c r="H147" s="4">
        <v>-5.7639999999999402E-3</v>
      </c>
      <c r="I147" t="s">
        <v>54</v>
      </c>
    </row>
    <row r="148" spans="1:9" x14ac:dyDescent="0.3">
      <c r="A148" s="1">
        <v>45778</v>
      </c>
      <c r="B148" t="s">
        <v>37</v>
      </c>
      <c r="C148" t="s">
        <v>40</v>
      </c>
      <c r="D148" t="s">
        <v>18</v>
      </c>
      <c r="E148" s="2">
        <v>25039.3</v>
      </c>
      <c r="F148" s="3">
        <v>25000</v>
      </c>
      <c r="G148" s="3">
        <v>39.299999999999272</v>
      </c>
      <c r="H148" s="4">
        <v>1.5719999999999699E-3</v>
      </c>
      <c r="I148" t="s">
        <v>53</v>
      </c>
    </row>
    <row r="149" spans="1:9" x14ac:dyDescent="0.3">
      <c r="A149" s="1">
        <v>45778</v>
      </c>
      <c r="B149" t="s">
        <v>37</v>
      </c>
      <c r="C149" t="s">
        <v>41</v>
      </c>
      <c r="D149" t="s">
        <v>15</v>
      </c>
      <c r="E149" s="2">
        <v>30275.919999999998</v>
      </c>
      <c r="F149" s="3">
        <v>30000</v>
      </c>
      <c r="G149" s="3">
        <v>275.91999999999825</v>
      </c>
      <c r="H149" s="4">
        <v>9.1973333333332796E-3</v>
      </c>
      <c r="I149" t="s">
        <v>53</v>
      </c>
    </row>
    <row r="150" spans="1:9" x14ac:dyDescent="0.3">
      <c r="A150" s="1">
        <v>45778</v>
      </c>
      <c r="B150" t="s">
        <v>37</v>
      </c>
      <c r="C150" t="s">
        <v>42</v>
      </c>
      <c r="D150" t="s">
        <v>15</v>
      </c>
      <c r="E150" s="2">
        <v>17784.830000000002</v>
      </c>
      <c r="F150" s="3">
        <v>18000</v>
      </c>
      <c r="G150" s="3">
        <v>-215.16999999999825</v>
      </c>
      <c r="H150" s="4">
        <v>-1.19538888888888E-2</v>
      </c>
      <c r="I150" t="s">
        <v>54</v>
      </c>
    </row>
    <row r="151" spans="1:9" x14ac:dyDescent="0.3">
      <c r="A151" s="1">
        <v>45778</v>
      </c>
      <c r="B151" t="s">
        <v>37</v>
      </c>
      <c r="C151" t="s">
        <v>43</v>
      </c>
      <c r="D151" t="s">
        <v>18</v>
      </c>
      <c r="E151" s="2">
        <v>8602.7199999999993</v>
      </c>
      <c r="F151" s="3">
        <v>8500</v>
      </c>
      <c r="G151" s="3">
        <v>102.71999999999935</v>
      </c>
      <c r="H151" s="4">
        <v>1.20847058823529E-2</v>
      </c>
      <c r="I151" t="s">
        <v>53</v>
      </c>
    </row>
    <row r="152" spans="1:9" x14ac:dyDescent="0.3">
      <c r="A152" s="1">
        <v>45778</v>
      </c>
      <c r="B152" t="s">
        <v>37</v>
      </c>
      <c r="C152" t="s">
        <v>44</v>
      </c>
      <c r="D152" t="s">
        <v>18</v>
      </c>
      <c r="E152" s="2">
        <v>7871.36</v>
      </c>
      <c r="F152" s="3">
        <v>7500</v>
      </c>
      <c r="G152" s="3">
        <v>371.35999999999967</v>
      </c>
      <c r="H152" s="4">
        <v>4.9514666666666603E-2</v>
      </c>
      <c r="I152" t="s">
        <v>53</v>
      </c>
    </row>
    <row r="153" spans="1:9" x14ac:dyDescent="0.3">
      <c r="A153" s="1">
        <v>45778</v>
      </c>
      <c r="B153" t="s">
        <v>37</v>
      </c>
      <c r="C153" t="s">
        <v>45</v>
      </c>
      <c r="D153" t="s">
        <v>15</v>
      </c>
      <c r="E153" s="2">
        <v>11852.03</v>
      </c>
      <c r="F153" s="3">
        <v>10000</v>
      </c>
      <c r="G153" s="3">
        <v>1852.0300000000007</v>
      </c>
      <c r="H153" s="4">
        <v>0.18520300000000001</v>
      </c>
      <c r="I153" t="s">
        <v>53</v>
      </c>
    </row>
    <row r="154" spans="1:9" x14ac:dyDescent="0.3">
      <c r="A154" s="1">
        <v>45778</v>
      </c>
      <c r="B154" t="s">
        <v>37</v>
      </c>
      <c r="C154" t="s">
        <v>46</v>
      </c>
      <c r="D154" t="s">
        <v>18</v>
      </c>
      <c r="E154" s="2">
        <v>4488.8599999999997</v>
      </c>
      <c r="F154" s="3">
        <v>4500</v>
      </c>
      <c r="G154" s="3">
        <v>-11.140000000000327</v>
      </c>
      <c r="H154" s="4">
        <v>-2.4755555555556301E-3</v>
      </c>
      <c r="I154" t="s">
        <v>54</v>
      </c>
    </row>
    <row r="155" spans="1:9" x14ac:dyDescent="0.3">
      <c r="A155" s="1">
        <v>45778</v>
      </c>
      <c r="B155" t="s">
        <v>37</v>
      </c>
      <c r="C155" t="s">
        <v>47</v>
      </c>
      <c r="D155" t="s">
        <v>15</v>
      </c>
      <c r="E155" s="2">
        <v>6042.18</v>
      </c>
      <c r="F155" s="3">
        <v>6000</v>
      </c>
      <c r="G155" s="3">
        <v>42.180000000000291</v>
      </c>
      <c r="H155" s="4">
        <v>7.0300000000000501E-3</v>
      </c>
      <c r="I155" t="s">
        <v>53</v>
      </c>
    </row>
    <row r="156" spans="1:9" x14ac:dyDescent="0.3">
      <c r="A156" s="1">
        <v>45778</v>
      </c>
      <c r="B156" t="s">
        <v>37</v>
      </c>
      <c r="C156" t="s">
        <v>48</v>
      </c>
      <c r="D156" t="s">
        <v>15</v>
      </c>
      <c r="E156" s="2">
        <v>2121</v>
      </c>
      <c r="F156" s="3">
        <v>2500</v>
      </c>
      <c r="G156" s="3">
        <v>-379</v>
      </c>
      <c r="H156" s="4">
        <v>-0.15160000000000001</v>
      </c>
      <c r="I156" t="s">
        <v>54</v>
      </c>
    </row>
    <row r="157" spans="1:9" x14ac:dyDescent="0.3">
      <c r="A157" s="1">
        <v>45809</v>
      </c>
      <c r="B157" t="s">
        <v>5</v>
      </c>
      <c r="C157" t="s">
        <v>6</v>
      </c>
      <c r="D157" t="s">
        <v>7</v>
      </c>
      <c r="E157" s="2">
        <v>48137.25</v>
      </c>
      <c r="F157" s="3">
        <v>43000</v>
      </c>
      <c r="G157" s="3">
        <v>5137.25</v>
      </c>
      <c r="H157" s="4">
        <v>0.119470930232558</v>
      </c>
      <c r="I157" t="s">
        <v>54</v>
      </c>
    </row>
    <row r="158" spans="1:9" x14ac:dyDescent="0.3">
      <c r="A158" s="1">
        <v>45809</v>
      </c>
      <c r="B158" t="s">
        <v>5</v>
      </c>
      <c r="C158" t="s">
        <v>8</v>
      </c>
      <c r="D158" t="s">
        <v>7</v>
      </c>
      <c r="E158" s="2">
        <v>91986.1</v>
      </c>
      <c r="F158" s="3">
        <v>82000</v>
      </c>
      <c r="G158" s="3">
        <v>9986.1000000000058</v>
      </c>
      <c r="H158" s="4">
        <v>0.121781707317073</v>
      </c>
      <c r="I158" t="s">
        <v>54</v>
      </c>
    </row>
    <row r="159" spans="1:9" x14ac:dyDescent="0.3">
      <c r="A159" s="1">
        <v>45809</v>
      </c>
      <c r="B159" t="s">
        <v>5</v>
      </c>
      <c r="C159" t="s">
        <v>9</v>
      </c>
      <c r="D159" t="s">
        <v>7</v>
      </c>
      <c r="E159" s="2">
        <v>133165.68</v>
      </c>
      <c r="F159" s="3">
        <v>115000</v>
      </c>
      <c r="G159" s="3">
        <v>18165.679999999993</v>
      </c>
      <c r="H159" s="4">
        <v>0.15796243478260899</v>
      </c>
      <c r="I159" t="s">
        <v>54</v>
      </c>
    </row>
    <row r="160" spans="1:9" x14ac:dyDescent="0.3">
      <c r="A160" s="1">
        <v>45809</v>
      </c>
      <c r="B160" t="s">
        <v>5</v>
      </c>
      <c r="C160" t="s">
        <v>10</v>
      </c>
      <c r="D160" t="s">
        <v>11</v>
      </c>
      <c r="E160" s="2">
        <v>24531.26</v>
      </c>
      <c r="F160" s="3">
        <v>24000</v>
      </c>
      <c r="G160" s="3">
        <v>531.2599999999984</v>
      </c>
      <c r="H160" s="4">
        <v>2.2135833333333299E-2</v>
      </c>
      <c r="I160" t="s">
        <v>54</v>
      </c>
    </row>
    <row r="161" spans="1:9" x14ac:dyDescent="0.3">
      <c r="A161" s="1">
        <v>45809</v>
      </c>
      <c r="B161" t="s">
        <v>5</v>
      </c>
      <c r="C161" t="s">
        <v>12</v>
      </c>
      <c r="D161" t="s">
        <v>11</v>
      </c>
      <c r="E161" s="2">
        <v>7322.75</v>
      </c>
      <c r="F161" s="3">
        <v>7500</v>
      </c>
      <c r="G161" s="3">
        <v>-177.25</v>
      </c>
      <c r="H161" s="4">
        <v>-2.3633333333333301E-2</v>
      </c>
      <c r="I161" t="s">
        <v>53</v>
      </c>
    </row>
    <row r="162" spans="1:9" x14ac:dyDescent="0.3">
      <c r="A162" s="1">
        <v>45809</v>
      </c>
      <c r="B162" t="s">
        <v>13</v>
      </c>
      <c r="C162" t="s">
        <v>14</v>
      </c>
      <c r="D162" t="s">
        <v>15</v>
      </c>
      <c r="E162" s="2">
        <v>33605.339999999997</v>
      </c>
      <c r="F162" s="3">
        <v>30000</v>
      </c>
      <c r="G162" s="3">
        <v>3605.3399999999965</v>
      </c>
      <c r="H162" s="4">
        <v>0.12017799999999999</v>
      </c>
      <c r="I162" t="s">
        <v>53</v>
      </c>
    </row>
    <row r="163" spans="1:9" x14ac:dyDescent="0.3">
      <c r="A163" s="1">
        <v>45809</v>
      </c>
      <c r="B163" t="s">
        <v>13</v>
      </c>
      <c r="C163" t="s">
        <v>16</v>
      </c>
      <c r="D163" t="s">
        <v>11</v>
      </c>
      <c r="E163" s="2">
        <v>28146.84</v>
      </c>
      <c r="F163" s="3">
        <v>28000</v>
      </c>
      <c r="G163" s="3">
        <v>146.84000000000015</v>
      </c>
      <c r="H163" s="4">
        <v>5.2442857142857204E-3</v>
      </c>
      <c r="I163" t="s">
        <v>53</v>
      </c>
    </row>
    <row r="164" spans="1:9" x14ac:dyDescent="0.3">
      <c r="A164" s="1">
        <v>45809</v>
      </c>
      <c r="B164" t="s">
        <v>13</v>
      </c>
      <c r="C164" t="s">
        <v>17</v>
      </c>
      <c r="D164" t="s">
        <v>18</v>
      </c>
      <c r="E164" s="2">
        <v>8609.2800000000007</v>
      </c>
      <c r="F164" s="3">
        <v>7800</v>
      </c>
      <c r="G164" s="3">
        <v>809.28000000000065</v>
      </c>
      <c r="H164" s="4">
        <v>0.103753846153846</v>
      </c>
      <c r="I164" t="s">
        <v>53</v>
      </c>
    </row>
    <row r="165" spans="1:9" x14ac:dyDescent="0.3">
      <c r="A165" s="1">
        <v>45809</v>
      </c>
      <c r="B165" t="s">
        <v>13</v>
      </c>
      <c r="C165" t="s">
        <v>19</v>
      </c>
      <c r="D165" t="s">
        <v>15</v>
      </c>
      <c r="E165" s="2">
        <v>5945.96</v>
      </c>
      <c r="F165" s="3">
        <v>5500</v>
      </c>
      <c r="G165" s="3">
        <v>445.96000000000004</v>
      </c>
      <c r="H165" s="4">
        <v>8.1083636363636399E-2</v>
      </c>
      <c r="I165" t="s">
        <v>53</v>
      </c>
    </row>
    <row r="166" spans="1:9" x14ac:dyDescent="0.3">
      <c r="A166" s="1">
        <v>45809</v>
      </c>
      <c r="B166" t="s">
        <v>20</v>
      </c>
      <c r="C166" t="s">
        <v>21</v>
      </c>
      <c r="D166" t="s">
        <v>22</v>
      </c>
      <c r="E166" s="2">
        <v>62934.79</v>
      </c>
      <c r="F166" s="3">
        <v>40000</v>
      </c>
      <c r="G166" s="3">
        <v>22934.79</v>
      </c>
      <c r="H166" s="4">
        <v>0.57336975000000001</v>
      </c>
      <c r="I166" t="s">
        <v>53</v>
      </c>
    </row>
    <row r="167" spans="1:9" x14ac:dyDescent="0.3">
      <c r="A167" s="1">
        <v>45809</v>
      </c>
      <c r="B167" t="s">
        <v>20</v>
      </c>
      <c r="C167" t="s">
        <v>23</v>
      </c>
      <c r="D167" t="s">
        <v>7</v>
      </c>
      <c r="E167" s="2">
        <v>63884.23</v>
      </c>
      <c r="F167" s="3">
        <v>65000</v>
      </c>
      <c r="G167" s="3">
        <v>-1115.7699999999968</v>
      </c>
      <c r="H167" s="4">
        <v>-1.7165692307692298E-2</v>
      </c>
      <c r="I167" t="s">
        <v>54</v>
      </c>
    </row>
    <row r="168" spans="1:9" x14ac:dyDescent="0.3">
      <c r="A168" s="1">
        <v>45809</v>
      </c>
      <c r="B168" t="s">
        <v>20</v>
      </c>
      <c r="C168" t="s">
        <v>24</v>
      </c>
      <c r="D168" t="s">
        <v>22</v>
      </c>
      <c r="E168" s="2">
        <v>34633.21</v>
      </c>
      <c r="F168" s="3">
        <v>35000</v>
      </c>
      <c r="G168" s="3">
        <v>-366.79000000000087</v>
      </c>
      <c r="H168" s="4">
        <v>-1.0479714285714301E-2</v>
      </c>
      <c r="I168" t="s">
        <v>54</v>
      </c>
    </row>
    <row r="169" spans="1:9" x14ac:dyDescent="0.3">
      <c r="A169" s="1">
        <v>45809</v>
      </c>
      <c r="B169" t="s">
        <v>20</v>
      </c>
      <c r="C169" t="s">
        <v>25</v>
      </c>
      <c r="D169" t="s">
        <v>7</v>
      </c>
      <c r="E169" s="2">
        <v>25236.44</v>
      </c>
      <c r="F169" s="3">
        <v>21000</v>
      </c>
      <c r="G169" s="3">
        <v>4236.4399999999987</v>
      </c>
      <c r="H169" s="4">
        <v>0.201735238095238</v>
      </c>
      <c r="I169" t="s">
        <v>53</v>
      </c>
    </row>
    <row r="170" spans="1:9" x14ac:dyDescent="0.3">
      <c r="A170" s="1">
        <v>45809</v>
      </c>
      <c r="B170" t="s">
        <v>20</v>
      </c>
      <c r="C170" t="s">
        <v>26</v>
      </c>
      <c r="D170" t="s">
        <v>22</v>
      </c>
      <c r="E170" s="2">
        <v>8257.1</v>
      </c>
      <c r="F170" s="3">
        <v>8500</v>
      </c>
      <c r="G170" s="3">
        <v>-242.89999999999964</v>
      </c>
      <c r="H170" s="4">
        <v>-2.85764705882352E-2</v>
      </c>
      <c r="I170" t="s">
        <v>54</v>
      </c>
    </row>
    <row r="171" spans="1:9" x14ac:dyDescent="0.3">
      <c r="A171" s="1">
        <v>45809</v>
      </c>
      <c r="B171" t="s">
        <v>20</v>
      </c>
      <c r="C171" t="s">
        <v>27</v>
      </c>
      <c r="D171" t="s">
        <v>22</v>
      </c>
      <c r="E171" s="2">
        <v>14947.02</v>
      </c>
      <c r="F171" s="3">
        <v>10000</v>
      </c>
      <c r="G171" s="3">
        <v>4947.0200000000004</v>
      </c>
      <c r="H171" s="4">
        <v>0.49470199999999998</v>
      </c>
      <c r="I171" t="s">
        <v>53</v>
      </c>
    </row>
    <row r="172" spans="1:9" x14ac:dyDescent="0.3">
      <c r="A172" s="1">
        <v>45809</v>
      </c>
      <c r="B172" t="s">
        <v>20</v>
      </c>
      <c r="C172" t="s">
        <v>28</v>
      </c>
      <c r="D172" t="s">
        <v>7</v>
      </c>
      <c r="E172" s="2">
        <v>4891.96</v>
      </c>
      <c r="F172" s="3">
        <v>4500</v>
      </c>
      <c r="G172" s="3">
        <v>391.96000000000004</v>
      </c>
      <c r="H172" s="4">
        <v>8.7102222222222206E-2</v>
      </c>
      <c r="I172" t="s">
        <v>53</v>
      </c>
    </row>
    <row r="173" spans="1:9" x14ac:dyDescent="0.3">
      <c r="A173" s="1">
        <v>45809</v>
      </c>
      <c r="B173" t="s">
        <v>29</v>
      </c>
      <c r="C173" t="s">
        <v>30</v>
      </c>
      <c r="D173" t="s">
        <v>31</v>
      </c>
      <c r="E173" s="2">
        <v>95269.96</v>
      </c>
      <c r="F173" s="3">
        <v>95000</v>
      </c>
      <c r="G173" s="3">
        <v>269.9600000000064</v>
      </c>
      <c r="H173" s="4">
        <v>2.8416842105263799E-3</v>
      </c>
      <c r="I173" t="s">
        <v>53</v>
      </c>
    </row>
    <row r="174" spans="1:9" x14ac:dyDescent="0.3">
      <c r="A174" s="1">
        <v>45809</v>
      </c>
      <c r="B174" t="s">
        <v>29</v>
      </c>
      <c r="C174" t="s">
        <v>32</v>
      </c>
      <c r="D174" t="s">
        <v>33</v>
      </c>
      <c r="E174" s="2">
        <v>39956.269999999997</v>
      </c>
      <c r="F174" s="3">
        <v>40000</v>
      </c>
      <c r="G174" s="3">
        <v>-43.730000000003201</v>
      </c>
      <c r="H174" s="4">
        <v>-1.0932500000000801E-3</v>
      </c>
      <c r="I174" t="s">
        <v>54</v>
      </c>
    </row>
    <row r="175" spans="1:9" x14ac:dyDescent="0.3">
      <c r="A175" s="1">
        <v>45809</v>
      </c>
      <c r="B175" t="s">
        <v>29</v>
      </c>
      <c r="C175" t="s">
        <v>34</v>
      </c>
      <c r="D175" t="s">
        <v>31</v>
      </c>
      <c r="E175" s="2">
        <v>12683.09</v>
      </c>
      <c r="F175" s="3">
        <v>12000</v>
      </c>
      <c r="G175" s="3">
        <v>683.09000000000015</v>
      </c>
      <c r="H175" s="4">
        <v>5.6924166666666699E-2</v>
      </c>
      <c r="I175" t="s">
        <v>53</v>
      </c>
    </row>
    <row r="176" spans="1:9" x14ac:dyDescent="0.3">
      <c r="A176" s="1">
        <v>45809</v>
      </c>
      <c r="B176" t="s">
        <v>29</v>
      </c>
      <c r="C176" t="s">
        <v>35</v>
      </c>
      <c r="D176" t="s">
        <v>31</v>
      </c>
      <c r="E176" s="2">
        <v>8737.99</v>
      </c>
      <c r="F176" s="3">
        <v>8500</v>
      </c>
      <c r="G176" s="3">
        <v>237.98999999999978</v>
      </c>
      <c r="H176" s="4">
        <v>2.7998823529411701E-2</v>
      </c>
      <c r="I176" t="s">
        <v>53</v>
      </c>
    </row>
    <row r="177" spans="1:9" x14ac:dyDescent="0.3">
      <c r="A177" s="1">
        <v>45809</v>
      </c>
      <c r="B177" t="s">
        <v>29</v>
      </c>
      <c r="C177" t="s">
        <v>36</v>
      </c>
      <c r="D177" t="s">
        <v>31</v>
      </c>
      <c r="E177" s="2">
        <v>6097.53</v>
      </c>
      <c r="F177" s="3">
        <v>6500</v>
      </c>
      <c r="G177" s="3">
        <v>-402.47000000000025</v>
      </c>
      <c r="H177" s="4">
        <v>-6.1918461538461603E-2</v>
      </c>
      <c r="I177" t="s">
        <v>54</v>
      </c>
    </row>
    <row r="178" spans="1:9" x14ac:dyDescent="0.3">
      <c r="A178" s="1">
        <v>45809</v>
      </c>
      <c r="B178" t="s">
        <v>37</v>
      </c>
      <c r="C178" t="s">
        <v>38</v>
      </c>
      <c r="D178" t="s">
        <v>39</v>
      </c>
      <c r="E178" s="2">
        <v>54556.62</v>
      </c>
      <c r="F178" s="3">
        <v>55000</v>
      </c>
      <c r="G178" s="3">
        <v>-443.37999999999738</v>
      </c>
      <c r="H178" s="4">
        <v>-8.0614545454545002E-3</v>
      </c>
      <c r="I178" t="s">
        <v>54</v>
      </c>
    </row>
    <row r="179" spans="1:9" x14ac:dyDescent="0.3">
      <c r="A179" s="1">
        <v>45809</v>
      </c>
      <c r="B179" t="s">
        <v>37</v>
      </c>
      <c r="C179" t="s">
        <v>40</v>
      </c>
      <c r="D179" t="s">
        <v>18</v>
      </c>
      <c r="E179" s="2">
        <v>24931.05</v>
      </c>
      <c r="F179" s="3">
        <v>25000</v>
      </c>
      <c r="G179" s="3">
        <v>-68.950000000000728</v>
      </c>
      <c r="H179" s="4">
        <v>-2.75800000000003E-3</v>
      </c>
      <c r="I179" t="s">
        <v>54</v>
      </c>
    </row>
    <row r="180" spans="1:9" x14ac:dyDescent="0.3">
      <c r="A180" s="1">
        <v>45809</v>
      </c>
      <c r="B180" t="s">
        <v>37</v>
      </c>
      <c r="C180" t="s">
        <v>41</v>
      </c>
      <c r="D180" t="s">
        <v>15</v>
      </c>
      <c r="E180" s="2">
        <v>29908.29</v>
      </c>
      <c r="F180" s="3">
        <v>30000</v>
      </c>
      <c r="G180" s="3">
        <v>-91.709999999999127</v>
      </c>
      <c r="H180" s="4">
        <v>-3.0569999999999699E-3</v>
      </c>
      <c r="I180" t="s">
        <v>54</v>
      </c>
    </row>
    <row r="181" spans="1:9" x14ac:dyDescent="0.3">
      <c r="A181" s="1">
        <v>45809</v>
      </c>
      <c r="B181" t="s">
        <v>37</v>
      </c>
      <c r="C181" t="s">
        <v>42</v>
      </c>
      <c r="D181" t="s">
        <v>15</v>
      </c>
      <c r="E181" s="2">
        <v>17976.259999999998</v>
      </c>
      <c r="F181" s="3">
        <v>18000</v>
      </c>
      <c r="G181" s="3">
        <v>-23.740000000001601</v>
      </c>
      <c r="H181" s="4">
        <v>-1.31888888888898E-3</v>
      </c>
      <c r="I181" t="s">
        <v>54</v>
      </c>
    </row>
    <row r="182" spans="1:9" x14ac:dyDescent="0.3">
      <c r="A182" s="1">
        <v>45809</v>
      </c>
      <c r="B182" t="s">
        <v>37</v>
      </c>
      <c r="C182" t="s">
        <v>43</v>
      </c>
      <c r="D182" t="s">
        <v>18</v>
      </c>
      <c r="E182" s="2">
        <v>10480.84</v>
      </c>
      <c r="F182" s="3">
        <v>8500</v>
      </c>
      <c r="G182" s="3">
        <v>1980.8400000000001</v>
      </c>
      <c r="H182" s="4">
        <v>0.23304</v>
      </c>
      <c r="I182" t="s">
        <v>53</v>
      </c>
    </row>
    <row r="183" spans="1:9" x14ac:dyDescent="0.3">
      <c r="A183" s="1">
        <v>45809</v>
      </c>
      <c r="B183" t="s">
        <v>37</v>
      </c>
      <c r="C183" t="s">
        <v>44</v>
      </c>
      <c r="D183" t="s">
        <v>18</v>
      </c>
      <c r="E183" s="2">
        <v>7630.02</v>
      </c>
      <c r="F183" s="3">
        <v>7500</v>
      </c>
      <c r="G183" s="3">
        <v>130.02000000000044</v>
      </c>
      <c r="H183" s="4">
        <v>1.7336000000000101E-2</v>
      </c>
      <c r="I183" t="s">
        <v>53</v>
      </c>
    </row>
    <row r="184" spans="1:9" x14ac:dyDescent="0.3">
      <c r="A184" s="1">
        <v>45809</v>
      </c>
      <c r="B184" t="s">
        <v>37</v>
      </c>
      <c r="C184" t="s">
        <v>45</v>
      </c>
      <c r="D184" t="s">
        <v>15</v>
      </c>
      <c r="E184" s="2">
        <v>13139.04</v>
      </c>
      <c r="F184" s="3">
        <v>10000</v>
      </c>
      <c r="G184" s="3">
        <v>3139.0400000000009</v>
      </c>
      <c r="H184" s="4">
        <v>0.31390400000000002</v>
      </c>
      <c r="I184" t="s">
        <v>53</v>
      </c>
    </row>
    <row r="185" spans="1:9" x14ac:dyDescent="0.3">
      <c r="A185" s="1">
        <v>45809</v>
      </c>
      <c r="B185" t="s">
        <v>37</v>
      </c>
      <c r="C185" t="s">
        <v>46</v>
      </c>
      <c r="D185" t="s">
        <v>18</v>
      </c>
      <c r="E185" s="2">
        <v>4427.72</v>
      </c>
      <c r="F185" s="3">
        <v>4500</v>
      </c>
      <c r="G185" s="3">
        <v>-72.279999999999745</v>
      </c>
      <c r="H185" s="4">
        <v>-1.60622222222222E-2</v>
      </c>
      <c r="I185" t="s">
        <v>54</v>
      </c>
    </row>
    <row r="186" spans="1:9" x14ac:dyDescent="0.3">
      <c r="A186" s="1">
        <v>45809</v>
      </c>
      <c r="B186" t="s">
        <v>37</v>
      </c>
      <c r="C186" t="s">
        <v>47</v>
      </c>
      <c r="D186" t="s">
        <v>15</v>
      </c>
      <c r="E186" s="2">
        <v>5766.29</v>
      </c>
      <c r="F186" s="3">
        <v>6000</v>
      </c>
      <c r="G186" s="3">
        <v>-233.71000000000004</v>
      </c>
      <c r="H186" s="4">
        <v>-3.8951666666666697E-2</v>
      </c>
      <c r="I186" t="s">
        <v>54</v>
      </c>
    </row>
    <row r="187" spans="1:9" x14ac:dyDescent="0.3">
      <c r="A187" s="1">
        <v>45809</v>
      </c>
      <c r="B187" t="s">
        <v>37</v>
      </c>
      <c r="C187" t="s">
        <v>48</v>
      </c>
      <c r="D187" t="s">
        <v>15</v>
      </c>
      <c r="E187" s="2">
        <v>2339.3000000000002</v>
      </c>
      <c r="F187" s="3">
        <v>2500</v>
      </c>
      <c r="G187" s="3">
        <v>-160.69999999999982</v>
      </c>
      <c r="H187" s="4">
        <v>-6.4279999999999907E-2</v>
      </c>
      <c r="I187" t="s">
        <v>54</v>
      </c>
    </row>
    <row r="188" spans="1:9" x14ac:dyDescent="0.3">
      <c r="A188" s="1">
        <v>45839</v>
      </c>
      <c r="B188" t="s">
        <v>5</v>
      </c>
      <c r="C188" t="s">
        <v>6</v>
      </c>
      <c r="D188" t="s">
        <v>7</v>
      </c>
      <c r="E188" s="2">
        <v>52222.83</v>
      </c>
      <c r="F188" s="3">
        <v>43000</v>
      </c>
      <c r="G188" s="3">
        <v>9222.8300000000017</v>
      </c>
      <c r="H188" s="4">
        <v>0.21448441860465101</v>
      </c>
      <c r="I188" t="s">
        <v>54</v>
      </c>
    </row>
    <row r="189" spans="1:9" x14ac:dyDescent="0.3">
      <c r="A189" s="1">
        <v>45839</v>
      </c>
      <c r="B189" t="s">
        <v>5</v>
      </c>
      <c r="C189" t="s">
        <v>8</v>
      </c>
      <c r="D189" t="s">
        <v>7</v>
      </c>
      <c r="E189" s="2">
        <v>92807.21</v>
      </c>
      <c r="F189" s="3">
        <v>82000</v>
      </c>
      <c r="G189" s="3">
        <v>10807.210000000006</v>
      </c>
      <c r="H189" s="4">
        <v>0.13179524390243899</v>
      </c>
      <c r="I189" t="s">
        <v>54</v>
      </c>
    </row>
    <row r="190" spans="1:9" x14ac:dyDescent="0.3">
      <c r="A190" s="1">
        <v>45839</v>
      </c>
      <c r="B190" t="s">
        <v>5</v>
      </c>
      <c r="C190" t="s">
        <v>9</v>
      </c>
      <c r="D190" t="s">
        <v>7</v>
      </c>
      <c r="E190" s="2">
        <v>130236.41</v>
      </c>
      <c r="F190" s="3">
        <v>115000</v>
      </c>
      <c r="G190" s="3">
        <v>15236.410000000003</v>
      </c>
      <c r="H190" s="4">
        <v>0.13249052173913001</v>
      </c>
      <c r="I190" t="s">
        <v>54</v>
      </c>
    </row>
    <row r="191" spans="1:9" x14ac:dyDescent="0.3">
      <c r="A191" s="1">
        <v>45839</v>
      </c>
      <c r="B191" t="s">
        <v>5</v>
      </c>
      <c r="C191" t="s">
        <v>10</v>
      </c>
      <c r="D191" t="s">
        <v>11</v>
      </c>
      <c r="E191" s="2">
        <v>27424.47</v>
      </c>
      <c r="F191" s="3">
        <v>24000</v>
      </c>
      <c r="G191" s="3">
        <v>3424.4700000000012</v>
      </c>
      <c r="H191" s="4">
        <v>0.14268624999999999</v>
      </c>
      <c r="I191" t="s">
        <v>54</v>
      </c>
    </row>
    <row r="192" spans="1:9" x14ac:dyDescent="0.3">
      <c r="A192" s="1">
        <v>45839</v>
      </c>
      <c r="B192" t="s">
        <v>5</v>
      </c>
      <c r="C192" t="s">
        <v>12</v>
      </c>
      <c r="D192" t="s">
        <v>11</v>
      </c>
      <c r="E192" s="2">
        <v>8540.0400000000009</v>
      </c>
      <c r="F192" s="3">
        <v>7500</v>
      </c>
      <c r="G192" s="3">
        <v>1040.0400000000009</v>
      </c>
      <c r="H192" s="4">
        <v>0.13867199999999999</v>
      </c>
      <c r="I192" t="s">
        <v>54</v>
      </c>
    </row>
    <row r="193" spans="1:9" x14ac:dyDescent="0.3">
      <c r="A193" s="1">
        <v>45839</v>
      </c>
      <c r="B193" t="s">
        <v>13</v>
      </c>
      <c r="C193" t="s">
        <v>14</v>
      </c>
      <c r="D193" t="s">
        <v>15</v>
      </c>
      <c r="E193" s="2">
        <v>36213.699999999997</v>
      </c>
      <c r="F193" s="3">
        <v>30000</v>
      </c>
      <c r="G193" s="3">
        <v>6213.6999999999971</v>
      </c>
      <c r="H193" s="4">
        <v>0.20712333333333299</v>
      </c>
      <c r="I193" t="s">
        <v>53</v>
      </c>
    </row>
    <row r="194" spans="1:9" x14ac:dyDescent="0.3">
      <c r="A194" s="1">
        <v>45839</v>
      </c>
      <c r="B194" t="s">
        <v>13</v>
      </c>
      <c r="C194" t="s">
        <v>16</v>
      </c>
      <c r="D194" t="s">
        <v>11</v>
      </c>
      <c r="E194" s="2">
        <v>27719.78</v>
      </c>
      <c r="F194" s="3">
        <v>28000</v>
      </c>
      <c r="G194" s="3">
        <v>-280.22000000000116</v>
      </c>
      <c r="H194" s="4">
        <v>-1.00078571428572E-2</v>
      </c>
      <c r="I194" t="s">
        <v>54</v>
      </c>
    </row>
    <row r="195" spans="1:9" x14ac:dyDescent="0.3">
      <c r="A195" s="1">
        <v>45839</v>
      </c>
      <c r="B195" t="s">
        <v>13</v>
      </c>
      <c r="C195" t="s">
        <v>17</v>
      </c>
      <c r="D195" t="s">
        <v>18</v>
      </c>
      <c r="E195" s="2">
        <v>9407.7199999999993</v>
      </c>
      <c r="F195" s="3">
        <v>7800</v>
      </c>
      <c r="G195" s="3">
        <v>1607.7199999999993</v>
      </c>
      <c r="H195" s="4">
        <v>0.206117948717949</v>
      </c>
      <c r="I195" t="s">
        <v>53</v>
      </c>
    </row>
    <row r="196" spans="1:9" x14ac:dyDescent="0.3">
      <c r="A196" s="1">
        <v>45839</v>
      </c>
      <c r="B196" t="s">
        <v>13</v>
      </c>
      <c r="C196" t="s">
        <v>19</v>
      </c>
      <c r="D196" t="s">
        <v>15</v>
      </c>
      <c r="E196" s="2">
        <v>5437.44</v>
      </c>
      <c r="F196" s="3">
        <v>5500</v>
      </c>
      <c r="G196" s="3">
        <v>-62.5600000000004</v>
      </c>
      <c r="H196" s="4">
        <v>-1.13745454545455E-2</v>
      </c>
      <c r="I196" t="s">
        <v>54</v>
      </c>
    </row>
    <row r="197" spans="1:9" x14ac:dyDescent="0.3">
      <c r="A197" s="1">
        <v>45839</v>
      </c>
      <c r="B197" t="s">
        <v>20</v>
      </c>
      <c r="C197" t="s">
        <v>21</v>
      </c>
      <c r="D197" t="s">
        <v>22</v>
      </c>
      <c r="E197" s="2">
        <v>46626.07</v>
      </c>
      <c r="F197" s="3">
        <v>48000</v>
      </c>
      <c r="G197" s="3">
        <v>-1373.9300000000003</v>
      </c>
      <c r="H197" s="4">
        <v>-2.86235416666667E-2</v>
      </c>
      <c r="I197" t="s">
        <v>54</v>
      </c>
    </row>
    <row r="198" spans="1:9" x14ac:dyDescent="0.3">
      <c r="A198" s="1">
        <v>45839</v>
      </c>
      <c r="B198" t="s">
        <v>20</v>
      </c>
      <c r="C198" t="s">
        <v>23</v>
      </c>
      <c r="D198" t="s">
        <v>7</v>
      </c>
      <c r="E198" s="2">
        <v>65130.85</v>
      </c>
      <c r="F198" s="3">
        <v>65000</v>
      </c>
      <c r="G198" s="3">
        <v>130.84999999999854</v>
      </c>
      <c r="H198" s="4">
        <v>2.0130769230769E-3</v>
      </c>
      <c r="I198" t="s">
        <v>53</v>
      </c>
    </row>
    <row r="199" spans="1:9" x14ac:dyDescent="0.3">
      <c r="A199" s="1">
        <v>45839</v>
      </c>
      <c r="B199" t="s">
        <v>20</v>
      </c>
      <c r="C199" t="s">
        <v>24</v>
      </c>
      <c r="D199" t="s">
        <v>22</v>
      </c>
      <c r="E199" s="2">
        <v>34370.82</v>
      </c>
      <c r="F199" s="3">
        <v>35000</v>
      </c>
      <c r="G199" s="3">
        <v>-629.18000000000029</v>
      </c>
      <c r="H199" s="4">
        <v>-1.7976571428571401E-2</v>
      </c>
      <c r="I199" t="s">
        <v>54</v>
      </c>
    </row>
    <row r="200" spans="1:9" x14ac:dyDescent="0.3">
      <c r="A200" s="1">
        <v>45839</v>
      </c>
      <c r="B200" t="s">
        <v>20</v>
      </c>
      <c r="C200" t="s">
        <v>25</v>
      </c>
      <c r="D200" t="s">
        <v>7</v>
      </c>
      <c r="E200" s="2">
        <v>27384.75</v>
      </c>
      <c r="F200" s="3">
        <v>21000</v>
      </c>
      <c r="G200" s="3">
        <v>6384.75</v>
      </c>
      <c r="H200" s="4">
        <v>0.30403571428571402</v>
      </c>
      <c r="I200" t="s">
        <v>53</v>
      </c>
    </row>
    <row r="201" spans="1:9" x14ac:dyDescent="0.3">
      <c r="A201" s="1">
        <v>45839</v>
      </c>
      <c r="B201" t="s">
        <v>20</v>
      </c>
      <c r="C201" t="s">
        <v>26</v>
      </c>
      <c r="D201" t="s">
        <v>22</v>
      </c>
      <c r="E201" s="2">
        <v>8785.6200000000008</v>
      </c>
      <c r="F201" s="3">
        <v>8500</v>
      </c>
      <c r="G201" s="3">
        <v>285.6200000000008</v>
      </c>
      <c r="H201" s="4">
        <v>3.3602352941176597E-2</v>
      </c>
      <c r="I201" t="s">
        <v>53</v>
      </c>
    </row>
    <row r="202" spans="1:9" x14ac:dyDescent="0.3">
      <c r="A202" s="1">
        <v>45839</v>
      </c>
      <c r="B202" t="s">
        <v>20</v>
      </c>
      <c r="C202" t="s">
        <v>27</v>
      </c>
      <c r="D202" t="s">
        <v>22</v>
      </c>
      <c r="E202" s="2">
        <v>3562.8</v>
      </c>
      <c r="F202" s="3">
        <v>10000</v>
      </c>
      <c r="G202" s="3">
        <v>-6437.2</v>
      </c>
      <c r="H202" s="4">
        <v>-0.64371999999999996</v>
      </c>
      <c r="I202" t="s">
        <v>54</v>
      </c>
    </row>
    <row r="203" spans="1:9" x14ac:dyDescent="0.3">
      <c r="A203" s="1">
        <v>45839</v>
      </c>
      <c r="B203" t="s">
        <v>20</v>
      </c>
      <c r="C203" t="s">
        <v>28</v>
      </c>
      <c r="D203" t="s">
        <v>7</v>
      </c>
      <c r="E203" s="2">
        <v>4883.7299999999996</v>
      </c>
      <c r="F203" s="3">
        <v>4500</v>
      </c>
      <c r="G203" s="3">
        <v>383.72999999999956</v>
      </c>
      <c r="H203" s="4">
        <v>8.5273333333333201E-2</v>
      </c>
      <c r="I203" t="s">
        <v>53</v>
      </c>
    </row>
    <row r="204" spans="1:9" x14ac:dyDescent="0.3">
      <c r="A204" s="1">
        <v>45839</v>
      </c>
      <c r="B204" t="s">
        <v>29</v>
      </c>
      <c r="C204" t="s">
        <v>30</v>
      </c>
      <c r="D204" t="s">
        <v>31</v>
      </c>
      <c r="E204" s="2">
        <v>96325.04</v>
      </c>
      <c r="F204" s="3">
        <v>105000</v>
      </c>
      <c r="G204" s="3">
        <v>-8674.9600000000064</v>
      </c>
      <c r="H204" s="4">
        <v>-8.2618666666666701E-2</v>
      </c>
      <c r="I204" t="s">
        <v>54</v>
      </c>
    </row>
    <row r="205" spans="1:9" x14ac:dyDescent="0.3">
      <c r="A205" s="1">
        <v>45839</v>
      </c>
      <c r="B205" t="s">
        <v>29</v>
      </c>
      <c r="C205" t="s">
        <v>32</v>
      </c>
      <c r="D205" t="s">
        <v>33</v>
      </c>
      <c r="E205" s="2">
        <v>39466.1</v>
      </c>
      <c r="F205" s="3">
        <v>40000</v>
      </c>
      <c r="G205" s="3">
        <v>-533.90000000000146</v>
      </c>
      <c r="H205" s="4">
        <v>-1.33475E-2</v>
      </c>
      <c r="I205" t="s">
        <v>54</v>
      </c>
    </row>
    <row r="206" spans="1:9" x14ac:dyDescent="0.3">
      <c r="A206" s="1">
        <v>45839</v>
      </c>
      <c r="B206" t="s">
        <v>29</v>
      </c>
      <c r="C206" t="s">
        <v>34</v>
      </c>
      <c r="D206" t="s">
        <v>31</v>
      </c>
      <c r="E206" s="2">
        <v>11965.54</v>
      </c>
      <c r="F206" s="3">
        <v>12000</v>
      </c>
      <c r="G206" s="3">
        <v>-34.459999999999127</v>
      </c>
      <c r="H206" s="4">
        <v>-2.8716666666665901E-3</v>
      </c>
      <c r="I206" t="s">
        <v>54</v>
      </c>
    </row>
    <row r="207" spans="1:9" x14ac:dyDescent="0.3">
      <c r="A207" s="1">
        <v>45839</v>
      </c>
      <c r="B207" t="s">
        <v>29</v>
      </c>
      <c r="C207" t="s">
        <v>35</v>
      </c>
      <c r="D207" t="s">
        <v>31</v>
      </c>
      <c r="E207" s="2">
        <v>7312.99</v>
      </c>
      <c r="F207" s="3">
        <v>8500</v>
      </c>
      <c r="G207" s="3">
        <v>-1187.0100000000002</v>
      </c>
      <c r="H207" s="4">
        <v>-0.13964823529411799</v>
      </c>
      <c r="I207" t="s">
        <v>54</v>
      </c>
    </row>
    <row r="208" spans="1:9" x14ac:dyDescent="0.3">
      <c r="A208" s="1">
        <v>45839</v>
      </c>
      <c r="B208" t="s">
        <v>29</v>
      </c>
      <c r="C208" t="s">
        <v>36</v>
      </c>
      <c r="D208" t="s">
        <v>31</v>
      </c>
      <c r="E208" s="2">
        <v>6371.35</v>
      </c>
      <c r="F208" s="3">
        <v>6500</v>
      </c>
      <c r="G208" s="3">
        <v>-128.64999999999964</v>
      </c>
      <c r="H208" s="4">
        <v>-1.9792307692307599E-2</v>
      </c>
      <c r="I208" t="s">
        <v>54</v>
      </c>
    </row>
    <row r="209" spans="1:9" x14ac:dyDescent="0.3">
      <c r="A209" s="1">
        <v>45839</v>
      </c>
      <c r="B209" t="s">
        <v>37</v>
      </c>
      <c r="C209" t="s">
        <v>38</v>
      </c>
      <c r="D209" t="s">
        <v>39</v>
      </c>
      <c r="E209" s="2">
        <v>54514.5</v>
      </c>
      <c r="F209" s="3">
        <v>55000</v>
      </c>
      <c r="G209" s="3">
        <v>-485.5</v>
      </c>
      <c r="H209" s="4">
        <v>-8.8272727272727305E-3</v>
      </c>
      <c r="I209" t="s">
        <v>54</v>
      </c>
    </row>
    <row r="210" spans="1:9" x14ac:dyDescent="0.3">
      <c r="A210" s="1">
        <v>45839</v>
      </c>
      <c r="B210" t="s">
        <v>37</v>
      </c>
      <c r="C210" t="s">
        <v>40</v>
      </c>
      <c r="D210" t="s">
        <v>18</v>
      </c>
      <c r="E210" s="2">
        <v>24878.97</v>
      </c>
      <c r="F210" s="3">
        <v>25000</v>
      </c>
      <c r="G210" s="3">
        <v>-121.02999999999884</v>
      </c>
      <c r="H210" s="4">
        <v>-4.8411999999999501E-3</v>
      </c>
      <c r="I210" t="s">
        <v>54</v>
      </c>
    </row>
    <row r="211" spans="1:9" x14ac:dyDescent="0.3">
      <c r="A211" s="1">
        <v>45839</v>
      </c>
      <c r="B211" t="s">
        <v>37</v>
      </c>
      <c r="C211" t="s">
        <v>41</v>
      </c>
      <c r="D211" t="s">
        <v>15</v>
      </c>
      <c r="E211" s="2">
        <v>30582.37</v>
      </c>
      <c r="F211" s="3">
        <v>30000</v>
      </c>
      <c r="G211" s="3">
        <v>582.36999999999898</v>
      </c>
      <c r="H211" s="4">
        <v>1.9412333333333299E-2</v>
      </c>
      <c r="I211" t="s">
        <v>53</v>
      </c>
    </row>
    <row r="212" spans="1:9" x14ac:dyDescent="0.3">
      <c r="A212" s="1">
        <v>45839</v>
      </c>
      <c r="B212" t="s">
        <v>37</v>
      </c>
      <c r="C212" t="s">
        <v>42</v>
      </c>
      <c r="D212" t="s">
        <v>15</v>
      </c>
      <c r="E212" s="2">
        <v>17830.95</v>
      </c>
      <c r="F212" s="3">
        <v>18000</v>
      </c>
      <c r="G212" s="3">
        <v>-169.04999999999927</v>
      </c>
      <c r="H212" s="4">
        <v>-9.3916666666666298E-3</v>
      </c>
      <c r="I212" t="s">
        <v>54</v>
      </c>
    </row>
    <row r="213" spans="1:9" x14ac:dyDescent="0.3">
      <c r="A213" s="1">
        <v>45839</v>
      </c>
      <c r="B213" t="s">
        <v>37</v>
      </c>
      <c r="C213" t="s">
        <v>43</v>
      </c>
      <c r="D213" t="s">
        <v>18</v>
      </c>
      <c r="E213" s="2">
        <v>10728.32</v>
      </c>
      <c r="F213" s="3">
        <v>8500</v>
      </c>
      <c r="G213" s="3">
        <v>2228.3199999999997</v>
      </c>
      <c r="H213" s="4">
        <v>0.26215529411764699</v>
      </c>
      <c r="I213" t="s">
        <v>53</v>
      </c>
    </row>
    <row r="214" spans="1:9" x14ac:dyDescent="0.3">
      <c r="A214" s="1">
        <v>45839</v>
      </c>
      <c r="B214" t="s">
        <v>37</v>
      </c>
      <c r="C214" t="s">
        <v>44</v>
      </c>
      <c r="D214" t="s">
        <v>18</v>
      </c>
      <c r="E214" s="2">
        <v>7466.26</v>
      </c>
      <c r="F214" s="3">
        <v>7500</v>
      </c>
      <c r="G214" s="3">
        <v>-33.739999999999782</v>
      </c>
      <c r="H214" s="4">
        <v>-4.4986666666666404E-3</v>
      </c>
      <c r="I214" t="s">
        <v>54</v>
      </c>
    </row>
    <row r="215" spans="1:9" x14ac:dyDescent="0.3">
      <c r="A215" s="1">
        <v>45839</v>
      </c>
      <c r="B215" t="s">
        <v>37</v>
      </c>
      <c r="C215" t="s">
        <v>45</v>
      </c>
      <c r="D215" t="s">
        <v>15</v>
      </c>
      <c r="E215" s="2">
        <v>10978.58</v>
      </c>
      <c r="F215" s="3">
        <v>12000</v>
      </c>
      <c r="G215" s="3">
        <v>-1021.4200000000001</v>
      </c>
      <c r="H215" s="4">
        <v>-8.5118333333333407E-2</v>
      </c>
      <c r="I215" t="s">
        <v>54</v>
      </c>
    </row>
    <row r="216" spans="1:9" x14ac:dyDescent="0.3">
      <c r="A216" s="1">
        <v>45839</v>
      </c>
      <c r="B216" t="s">
        <v>37</v>
      </c>
      <c r="C216" t="s">
        <v>46</v>
      </c>
      <c r="D216" t="s">
        <v>18</v>
      </c>
      <c r="E216" s="2">
        <v>4582.32</v>
      </c>
      <c r="F216" s="3">
        <v>4500</v>
      </c>
      <c r="G216" s="3">
        <v>82.319999999999709</v>
      </c>
      <c r="H216" s="4">
        <v>1.82933333333333E-2</v>
      </c>
      <c r="I216" t="s">
        <v>53</v>
      </c>
    </row>
    <row r="217" spans="1:9" x14ac:dyDescent="0.3">
      <c r="A217" s="1">
        <v>45839</v>
      </c>
      <c r="B217" t="s">
        <v>37</v>
      </c>
      <c r="C217" t="s">
        <v>47</v>
      </c>
      <c r="D217" t="s">
        <v>15</v>
      </c>
      <c r="E217" s="2">
        <v>7189.01</v>
      </c>
      <c r="F217" s="3">
        <v>6000</v>
      </c>
      <c r="G217" s="3">
        <v>1189.0100000000002</v>
      </c>
      <c r="H217" s="4">
        <v>0.198168333333333</v>
      </c>
      <c r="I217" t="s">
        <v>53</v>
      </c>
    </row>
    <row r="218" spans="1:9" x14ac:dyDescent="0.3">
      <c r="A218" s="1">
        <v>45839</v>
      </c>
      <c r="B218" t="s">
        <v>37</v>
      </c>
      <c r="C218" t="s">
        <v>48</v>
      </c>
      <c r="D218" t="s">
        <v>15</v>
      </c>
      <c r="E218" s="2">
        <v>2555.77</v>
      </c>
      <c r="F218" s="3">
        <v>2500</v>
      </c>
      <c r="G218" s="3">
        <v>55.769999999999982</v>
      </c>
      <c r="H218" s="4">
        <v>2.2308000000000001E-2</v>
      </c>
      <c r="I218" t="s">
        <v>53</v>
      </c>
    </row>
    <row r="219" spans="1:9" x14ac:dyDescent="0.3">
      <c r="A219" s="1">
        <v>45870</v>
      </c>
      <c r="B219" t="s">
        <v>5</v>
      </c>
      <c r="C219" t="s">
        <v>6</v>
      </c>
      <c r="D219" t="s">
        <v>7</v>
      </c>
      <c r="E219" s="2">
        <v>52420.43</v>
      </c>
      <c r="F219" s="3">
        <v>43000</v>
      </c>
      <c r="G219" s="3">
        <v>9420.43</v>
      </c>
      <c r="H219" s="4">
        <v>0.21907976744186</v>
      </c>
      <c r="I219" t="s">
        <v>54</v>
      </c>
    </row>
    <row r="220" spans="1:9" x14ac:dyDescent="0.3">
      <c r="A220" s="1">
        <v>45870</v>
      </c>
      <c r="B220" t="s">
        <v>5</v>
      </c>
      <c r="C220" t="s">
        <v>8</v>
      </c>
      <c r="D220" t="s">
        <v>7</v>
      </c>
      <c r="E220" s="2">
        <v>93554.98</v>
      </c>
      <c r="F220" s="3">
        <v>82000</v>
      </c>
      <c r="G220" s="3">
        <v>11554.979999999996</v>
      </c>
      <c r="H220" s="4">
        <v>0.14091439024390201</v>
      </c>
      <c r="I220" t="s">
        <v>54</v>
      </c>
    </row>
    <row r="221" spans="1:9" x14ac:dyDescent="0.3">
      <c r="A221" s="1">
        <v>45870</v>
      </c>
      <c r="B221" t="s">
        <v>5</v>
      </c>
      <c r="C221" t="s">
        <v>9</v>
      </c>
      <c r="D221" t="s">
        <v>7</v>
      </c>
      <c r="E221" s="2">
        <v>134018.96</v>
      </c>
      <c r="F221" s="3">
        <v>115000</v>
      </c>
      <c r="G221" s="3">
        <v>19018.959999999992</v>
      </c>
      <c r="H221" s="4">
        <v>0.16538226086956501</v>
      </c>
      <c r="I221" t="s">
        <v>54</v>
      </c>
    </row>
    <row r="222" spans="1:9" x14ac:dyDescent="0.3">
      <c r="A222" s="1">
        <v>45870</v>
      </c>
      <c r="B222" t="s">
        <v>5</v>
      </c>
      <c r="C222" t="s">
        <v>10</v>
      </c>
      <c r="D222" t="s">
        <v>11</v>
      </c>
      <c r="E222" s="2">
        <v>33843.29</v>
      </c>
      <c r="F222" s="3">
        <v>24000</v>
      </c>
      <c r="G222" s="3">
        <v>9843.2900000000009</v>
      </c>
      <c r="H222" s="4">
        <v>0.41013708333333299</v>
      </c>
      <c r="I222" t="s">
        <v>54</v>
      </c>
    </row>
    <row r="223" spans="1:9" x14ac:dyDescent="0.3">
      <c r="A223" s="1">
        <v>45870</v>
      </c>
      <c r="B223" t="s">
        <v>5</v>
      </c>
      <c r="C223" t="s">
        <v>12</v>
      </c>
      <c r="D223" t="s">
        <v>11</v>
      </c>
      <c r="E223" s="2">
        <v>9553.27</v>
      </c>
      <c r="F223" s="3">
        <v>7500</v>
      </c>
      <c r="G223" s="3">
        <v>2053.2700000000004</v>
      </c>
      <c r="H223" s="4">
        <v>0.27376933333333298</v>
      </c>
      <c r="I223" t="s">
        <v>54</v>
      </c>
    </row>
    <row r="224" spans="1:9" x14ac:dyDescent="0.3">
      <c r="A224" s="1">
        <v>45870</v>
      </c>
      <c r="B224" t="s">
        <v>13</v>
      </c>
      <c r="C224" t="s">
        <v>14</v>
      </c>
      <c r="D224" t="s">
        <v>15</v>
      </c>
      <c r="E224" s="2">
        <v>40186.449999999997</v>
      </c>
      <c r="F224" s="3">
        <v>30000</v>
      </c>
      <c r="G224" s="3">
        <v>10186.449999999997</v>
      </c>
      <c r="H224" s="4">
        <v>0.33954833333333301</v>
      </c>
      <c r="I224" t="s">
        <v>53</v>
      </c>
    </row>
    <row r="225" spans="1:9" x14ac:dyDescent="0.3">
      <c r="A225" s="1">
        <v>45870</v>
      </c>
      <c r="B225" t="s">
        <v>13</v>
      </c>
      <c r="C225" t="s">
        <v>16</v>
      </c>
      <c r="D225" t="s">
        <v>11</v>
      </c>
      <c r="E225" s="2">
        <v>28277.73</v>
      </c>
      <c r="F225" s="3">
        <v>28000</v>
      </c>
      <c r="G225" s="3">
        <v>277.72999999999956</v>
      </c>
      <c r="H225" s="4">
        <v>9.9189285714285595E-3</v>
      </c>
      <c r="I225" t="s">
        <v>53</v>
      </c>
    </row>
    <row r="226" spans="1:9" x14ac:dyDescent="0.3">
      <c r="A226" s="1">
        <v>45870</v>
      </c>
      <c r="B226" t="s">
        <v>13</v>
      </c>
      <c r="C226" t="s">
        <v>17</v>
      </c>
      <c r="D226" t="s">
        <v>18</v>
      </c>
      <c r="E226" s="2">
        <v>8963.0300000000007</v>
      </c>
      <c r="F226" s="3">
        <v>7800</v>
      </c>
      <c r="G226" s="3">
        <v>1163.0300000000007</v>
      </c>
      <c r="H226" s="4">
        <v>0.14910641025641</v>
      </c>
      <c r="I226" t="s">
        <v>53</v>
      </c>
    </row>
    <row r="227" spans="1:9" x14ac:dyDescent="0.3">
      <c r="A227" s="1">
        <v>45870</v>
      </c>
      <c r="B227" t="s">
        <v>13</v>
      </c>
      <c r="C227" t="s">
        <v>19</v>
      </c>
      <c r="D227" t="s">
        <v>15</v>
      </c>
      <c r="E227" s="2">
        <v>5592.6</v>
      </c>
      <c r="F227" s="3">
        <v>5500</v>
      </c>
      <c r="G227" s="3">
        <v>92.600000000000364</v>
      </c>
      <c r="H227" s="4">
        <v>1.6836363636363701E-2</v>
      </c>
      <c r="I227" t="s">
        <v>53</v>
      </c>
    </row>
    <row r="228" spans="1:9" x14ac:dyDescent="0.3">
      <c r="A228" s="1">
        <v>45870</v>
      </c>
      <c r="B228" t="s">
        <v>20</v>
      </c>
      <c r="C228" t="s">
        <v>21</v>
      </c>
      <c r="D228" t="s">
        <v>22</v>
      </c>
      <c r="E228" s="2">
        <v>45012.83</v>
      </c>
      <c r="F228" s="3">
        <v>48000</v>
      </c>
      <c r="G228" s="3">
        <v>-2987.1699999999983</v>
      </c>
      <c r="H228" s="4">
        <v>-6.2232708333333303E-2</v>
      </c>
      <c r="I228" t="s">
        <v>54</v>
      </c>
    </row>
    <row r="229" spans="1:9" x14ac:dyDescent="0.3">
      <c r="A229" s="1">
        <v>45870</v>
      </c>
      <c r="B229" t="s">
        <v>20</v>
      </c>
      <c r="C229" t="s">
        <v>23</v>
      </c>
      <c r="D229" t="s">
        <v>7</v>
      </c>
      <c r="E229" s="2">
        <v>65917.070000000007</v>
      </c>
      <c r="F229" s="3">
        <v>65000</v>
      </c>
      <c r="G229" s="3">
        <v>917.07000000000698</v>
      </c>
      <c r="H229" s="4">
        <v>1.41087692307693E-2</v>
      </c>
      <c r="I229" t="s">
        <v>53</v>
      </c>
    </row>
    <row r="230" spans="1:9" x14ac:dyDescent="0.3">
      <c r="A230" s="1">
        <v>45870</v>
      </c>
      <c r="B230" t="s">
        <v>20</v>
      </c>
      <c r="C230" t="s">
        <v>24</v>
      </c>
      <c r="D230" t="s">
        <v>22</v>
      </c>
      <c r="E230" s="2">
        <v>34520.410000000003</v>
      </c>
      <c r="F230" s="3">
        <v>35000</v>
      </c>
      <c r="G230" s="3">
        <v>-479.58999999999651</v>
      </c>
      <c r="H230" s="4">
        <v>-1.37025714285713E-2</v>
      </c>
      <c r="I230" t="s">
        <v>54</v>
      </c>
    </row>
    <row r="231" spans="1:9" x14ac:dyDescent="0.3">
      <c r="A231" s="1">
        <v>45870</v>
      </c>
      <c r="B231" t="s">
        <v>20</v>
      </c>
      <c r="C231" t="s">
        <v>25</v>
      </c>
      <c r="D231" t="s">
        <v>7</v>
      </c>
      <c r="E231" s="2">
        <v>28255.46</v>
      </c>
      <c r="F231" s="3">
        <v>21000</v>
      </c>
      <c r="G231" s="3">
        <v>7255.4599999999991</v>
      </c>
      <c r="H231" s="4">
        <v>0.34549809523809499</v>
      </c>
      <c r="I231" t="s">
        <v>53</v>
      </c>
    </row>
    <row r="232" spans="1:9" x14ac:dyDescent="0.3">
      <c r="A232" s="1">
        <v>45870</v>
      </c>
      <c r="B232" t="s">
        <v>20</v>
      </c>
      <c r="C232" t="s">
        <v>26</v>
      </c>
      <c r="D232" t="s">
        <v>22</v>
      </c>
      <c r="E232" s="2">
        <v>8143.09</v>
      </c>
      <c r="F232" s="3">
        <v>8500</v>
      </c>
      <c r="G232" s="3">
        <v>-356.90999999999985</v>
      </c>
      <c r="H232" s="4">
        <v>-4.19894117647059E-2</v>
      </c>
      <c r="I232" t="s">
        <v>54</v>
      </c>
    </row>
    <row r="233" spans="1:9" x14ac:dyDescent="0.3">
      <c r="A233" s="1">
        <v>45870</v>
      </c>
      <c r="B233" t="s">
        <v>20</v>
      </c>
      <c r="C233" t="s">
        <v>27</v>
      </c>
      <c r="D233" t="s">
        <v>22</v>
      </c>
      <c r="E233" s="2">
        <v>2622.99</v>
      </c>
      <c r="F233" s="3">
        <v>10000</v>
      </c>
      <c r="G233" s="3">
        <v>-7377.01</v>
      </c>
      <c r="H233" s="4">
        <v>-0.73770100000000005</v>
      </c>
      <c r="I233" t="s">
        <v>54</v>
      </c>
    </row>
    <row r="234" spans="1:9" x14ac:dyDescent="0.3">
      <c r="A234" s="1">
        <v>45870</v>
      </c>
      <c r="B234" t="s">
        <v>20</v>
      </c>
      <c r="C234" t="s">
        <v>28</v>
      </c>
      <c r="D234" t="s">
        <v>7</v>
      </c>
      <c r="E234" s="2">
        <v>4585.53</v>
      </c>
      <c r="F234" s="3">
        <v>4500</v>
      </c>
      <c r="G234" s="3">
        <v>85.529999999999745</v>
      </c>
      <c r="H234" s="4">
        <v>1.9006666666666599E-2</v>
      </c>
      <c r="I234" t="s">
        <v>53</v>
      </c>
    </row>
    <row r="235" spans="1:9" x14ac:dyDescent="0.3">
      <c r="A235" s="1">
        <v>45870</v>
      </c>
      <c r="B235" t="s">
        <v>29</v>
      </c>
      <c r="C235" t="s">
        <v>30</v>
      </c>
      <c r="D235" t="s">
        <v>31</v>
      </c>
      <c r="E235" s="2">
        <v>95665.81</v>
      </c>
      <c r="F235" s="3">
        <v>105000</v>
      </c>
      <c r="G235" s="3">
        <v>-9334.1900000000023</v>
      </c>
      <c r="H235" s="4">
        <v>-8.8897047619047598E-2</v>
      </c>
      <c r="I235" t="s">
        <v>54</v>
      </c>
    </row>
    <row r="236" spans="1:9" x14ac:dyDescent="0.3">
      <c r="A236" s="1">
        <v>45870</v>
      </c>
      <c r="B236" t="s">
        <v>29</v>
      </c>
      <c r="C236" t="s">
        <v>32</v>
      </c>
      <c r="D236" t="s">
        <v>33</v>
      </c>
      <c r="E236" s="2">
        <v>39576.33</v>
      </c>
      <c r="F236" s="3">
        <v>40000</v>
      </c>
      <c r="G236" s="3">
        <v>-423.66999999999825</v>
      </c>
      <c r="H236" s="4">
        <v>-1.059175E-2</v>
      </c>
      <c r="I236" t="s">
        <v>54</v>
      </c>
    </row>
    <row r="237" spans="1:9" x14ac:dyDescent="0.3">
      <c r="A237" s="1">
        <v>45870</v>
      </c>
      <c r="B237" t="s">
        <v>29</v>
      </c>
      <c r="C237" t="s">
        <v>34</v>
      </c>
      <c r="D237" t="s">
        <v>31</v>
      </c>
      <c r="E237" s="2">
        <v>11087.73</v>
      </c>
      <c r="F237" s="3">
        <v>12000</v>
      </c>
      <c r="G237" s="3">
        <v>-912.27000000000044</v>
      </c>
      <c r="H237" s="4">
        <v>-7.6022500000000007E-2</v>
      </c>
      <c r="I237" t="s">
        <v>54</v>
      </c>
    </row>
    <row r="238" spans="1:9" x14ac:dyDescent="0.3">
      <c r="A238" s="1">
        <v>45870</v>
      </c>
      <c r="B238" t="s">
        <v>29</v>
      </c>
      <c r="C238" t="s">
        <v>35</v>
      </c>
      <c r="D238" t="s">
        <v>31</v>
      </c>
      <c r="E238" s="2">
        <v>8936.69</v>
      </c>
      <c r="F238" s="3">
        <v>8500</v>
      </c>
      <c r="G238" s="3">
        <v>436.69000000000051</v>
      </c>
      <c r="H238" s="4">
        <v>5.1375294117647102E-2</v>
      </c>
      <c r="I238" t="s">
        <v>53</v>
      </c>
    </row>
    <row r="239" spans="1:9" x14ac:dyDescent="0.3">
      <c r="A239" s="1">
        <v>45870</v>
      </c>
      <c r="B239" t="s">
        <v>29</v>
      </c>
      <c r="C239" t="s">
        <v>36</v>
      </c>
      <c r="D239" t="s">
        <v>31</v>
      </c>
      <c r="E239" s="2">
        <v>6170.08</v>
      </c>
      <c r="F239" s="3">
        <v>6500</v>
      </c>
      <c r="G239" s="3">
        <v>-329.92000000000007</v>
      </c>
      <c r="H239" s="4">
        <v>-5.0756923076923102E-2</v>
      </c>
      <c r="I239" t="s">
        <v>54</v>
      </c>
    </row>
    <row r="240" spans="1:9" x14ac:dyDescent="0.3">
      <c r="A240" s="1">
        <v>45870</v>
      </c>
      <c r="B240" t="s">
        <v>37</v>
      </c>
      <c r="C240" t="s">
        <v>38</v>
      </c>
      <c r="D240" t="s">
        <v>39</v>
      </c>
      <c r="E240" s="2">
        <v>55103.97</v>
      </c>
      <c r="F240" s="3">
        <v>55000</v>
      </c>
      <c r="G240" s="3">
        <v>103.97000000000116</v>
      </c>
      <c r="H240" s="4">
        <v>1.8903636363636601E-3</v>
      </c>
      <c r="I240" t="s">
        <v>53</v>
      </c>
    </row>
    <row r="241" spans="1:9" x14ac:dyDescent="0.3">
      <c r="A241" s="1">
        <v>45870</v>
      </c>
      <c r="B241" t="s">
        <v>37</v>
      </c>
      <c r="C241" t="s">
        <v>40</v>
      </c>
      <c r="D241" t="s">
        <v>18</v>
      </c>
      <c r="E241" s="2">
        <v>25119.38</v>
      </c>
      <c r="F241" s="3">
        <v>25000</v>
      </c>
      <c r="G241" s="3">
        <v>119.38000000000102</v>
      </c>
      <c r="H241" s="4">
        <v>4.7752000000000402E-3</v>
      </c>
      <c r="I241" t="s">
        <v>53</v>
      </c>
    </row>
    <row r="242" spans="1:9" x14ac:dyDescent="0.3">
      <c r="A242" s="1">
        <v>45870</v>
      </c>
      <c r="B242" t="s">
        <v>37</v>
      </c>
      <c r="C242" t="s">
        <v>41</v>
      </c>
      <c r="D242" t="s">
        <v>15</v>
      </c>
      <c r="E242" s="2">
        <v>29903.07</v>
      </c>
      <c r="F242" s="3">
        <v>30000</v>
      </c>
      <c r="G242" s="3">
        <v>-96.930000000000291</v>
      </c>
      <c r="H242" s="4">
        <v>-3.2310000000000099E-3</v>
      </c>
      <c r="I242" t="s">
        <v>54</v>
      </c>
    </row>
    <row r="243" spans="1:9" x14ac:dyDescent="0.3">
      <c r="A243" s="1">
        <v>45870</v>
      </c>
      <c r="B243" t="s">
        <v>37</v>
      </c>
      <c r="C243" t="s">
        <v>42</v>
      </c>
      <c r="D243" t="s">
        <v>15</v>
      </c>
      <c r="E243" s="2">
        <v>18060.240000000002</v>
      </c>
      <c r="F243" s="3">
        <v>18000</v>
      </c>
      <c r="G243" s="3">
        <v>60.240000000001601</v>
      </c>
      <c r="H243" s="4">
        <v>3.3466666666667599E-3</v>
      </c>
      <c r="I243" t="s">
        <v>53</v>
      </c>
    </row>
    <row r="244" spans="1:9" x14ac:dyDescent="0.3">
      <c r="A244" s="1">
        <v>45870</v>
      </c>
      <c r="B244" t="s">
        <v>37</v>
      </c>
      <c r="C244" t="s">
        <v>43</v>
      </c>
      <c r="D244" t="s">
        <v>18</v>
      </c>
      <c r="E244" s="2">
        <v>45000</v>
      </c>
      <c r="F244" s="3">
        <v>8500</v>
      </c>
      <c r="G244" s="3">
        <v>36500</v>
      </c>
      <c r="H244" s="4">
        <v>4.2941176470588198</v>
      </c>
      <c r="I244" t="s">
        <v>53</v>
      </c>
    </row>
    <row r="245" spans="1:9" x14ac:dyDescent="0.3">
      <c r="A245" s="1">
        <v>45870</v>
      </c>
      <c r="B245" t="s">
        <v>37</v>
      </c>
      <c r="C245" t="s">
        <v>44</v>
      </c>
      <c r="D245" t="s">
        <v>18</v>
      </c>
      <c r="E245" s="2">
        <v>7826.03</v>
      </c>
      <c r="F245" s="3">
        <v>7500</v>
      </c>
      <c r="G245" s="3">
        <v>326.02999999999975</v>
      </c>
      <c r="H245" s="4">
        <v>4.3470666666666602E-2</v>
      </c>
      <c r="I245" t="s">
        <v>53</v>
      </c>
    </row>
    <row r="246" spans="1:9" x14ac:dyDescent="0.3">
      <c r="A246" s="1">
        <v>45870</v>
      </c>
      <c r="B246" t="s">
        <v>37</v>
      </c>
      <c r="C246" t="s">
        <v>45</v>
      </c>
      <c r="D246" t="s">
        <v>15</v>
      </c>
      <c r="E246" s="2">
        <v>10136.4</v>
      </c>
      <c r="F246" s="3">
        <v>12000</v>
      </c>
      <c r="G246" s="3">
        <v>-1863.6000000000004</v>
      </c>
      <c r="H246" s="4">
        <v>-0.15529999999999999</v>
      </c>
      <c r="I246" t="s">
        <v>54</v>
      </c>
    </row>
    <row r="247" spans="1:9" x14ac:dyDescent="0.3">
      <c r="A247" s="1">
        <v>45870</v>
      </c>
      <c r="B247" t="s">
        <v>37</v>
      </c>
      <c r="C247" t="s">
        <v>46</v>
      </c>
      <c r="D247" t="s">
        <v>18</v>
      </c>
      <c r="E247" s="2">
        <v>4538.91</v>
      </c>
      <c r="F247" s="3">
        <v>4500</v>
      </c>
      <c r="G247" s="3">
        <v>38.909999999999854</v>
      </c>
      <c r="H247" s="4">
        <v>8.6466666666666393E-3</v>
      </c>
      <c r="I247" t="s">
        <v>53</v>
      </c>
    </row>
    <row r="248" spans="1:9" x14ac:dyDescent="0.3">
      <c r="A248" s="1">
        <v>45870</v>
      </c>
      <c r="B248" t="s">
        <v>37</v>
      </c>
      <c r="C248" t="s">
        <v>47</v>
      </c>
      <c r="D248" t="s">
        <v>15</v>
      </c>
      <c r="E248" s="2">
        <v>5372.85</v>
      </c>
      <c r="F248" s="3">
        <v>6000</v>
      </c>
      <c r="G248" s="3">
        <v>-627.14999999999964</v>
      </c>
      <c r="H248" s="4">
        <v>-0.10452500000000001</v>
      </c>
      <c r="I248" t="s">
        <v>54</v>
      </c>
    </row>
    <row r="249" spans="1:9" x14ac:dyDescent="0.3">
      <c r="A249" s="1">
        <v>45870</v>
      </c>
      <c r="B249" t="s">
        <v>37</v>
      </c>
      <c r="C249" t="s">
        <v>48</v>
      </c>
      <c r="D249" t="s">
        <v>15</v>
      </c>
      <c r="E249" s="2">
        <v>2395.79</v>
      </c>
      <c r="F249" s="3">
        <v>2500</v>
      </c>
      <c r="G249" s="3">
        <v>-104.21000000000004</v>
      </c>
      <c r="H249" s="4">
        <v>-4.1683999999999999E-2</v>
      </c>
      <c r="I249" t="s">
        <v>54</v>
      </c>
    </row>
    <row r="250" spans="1:9" x14ac:dyDescent="0.3">
      <c r="A250" s="1">
        <v>45901</v>
      </c>
      <c r="B250" t="s">
        <v>5</v>
      </c>
      <c r="C250" t="s">
        <v>6</v>
      </c>
      <c r="D250" t="s">
        <v>7</v>
      </c>
      <c r="E250" s="2">
        <v>53096.22</v>
      </c>
      <c r="F250" s="3">
        <v>43000</v>
      </c>
      <c r="G250" s="3">
        <v>10096.220000000001</v>
      </c>
      <c r="H250" s="4">
        <v>0.234795813953488</v>
      </c>
      <c r="I250" t="s">
        <v>54</v>
      </c>
    </row>
    <row r="251" spans="1:9" x14ac:dyDescent="0.3">
      <c r="A251" s="1">
        <v>45901</v>
      </c>
      <c r="B251" t="s">
        <v>5</v>
      </c>
      <c r="C251" t="s">
        <v>8</v>
      </c>
      <c r="D251" t="s">
        <v>7</v>
      </c>
      <c r="E251" s="2">
        <v>96627.97</v>
      </c>
      <c r="F251" s="3">
        <v>82000</v>
      </c>
      <c r="G251" s="3">
        <v>14627.970000000001</v>
      </c>
      <c r="H251" s="4">
        <v>0.17838987804878001</v>
      </c>
      <c r="I251" t="s">
        <v>54</v>
      </c>
    </row>
    <row r="252" spans="1:9" x14ac:dyDescent="0.3">
      <c r="A252" s="1">
        <v>45901</v>
      </c>
      <c r="B252" t="s">
        <v>5</v>
      </c>
      <c r="C252" t="s">
        <v>9</v>
      </c>
      <c r="D252" t="s">
        <v>7</v>
      </c>
      <c r="E252" s="2">
        <v>136641.19</v>
      </c>
      <c r="F252" s="3">
        <v>115000</v>
      </c>
      <c r="G252" s="3">
        <v>21641.190000000002</v>
      </c>
      <c r="H252" s="4">
        <v>0.188184260869565</v>
      </c>
      <c r="I252" t="s">
        <v>54</v>
      </c>
    </row>
    <row r="253" spans="1:9" x14ac:dyDescent="0.3">
      <c r="A253" s="1">
        <v>45901</v>
      </c>
      <c r="B253" t="s">
        <v>5</v>
      </c>
      <c r="C253" t="s">
        <v>10</v>
      </c>
      <c r="D253" t="s">
        <v>11</v>
      </c>
      <c r="E253" s="2">
        <v>31921.63</v>
      </c>
      <c r="F253" s="3">
        <v>24000</v>
      </c>
      <c r="G253" s="3">
        <v>7921.630000000001</v>
      </c>
      <c r="H253" s="4">
        <v>0.33006791666666702</v>
      </c>
      <c r="I253" t="s">
        <v>54</v>
      </c>
    </row>
    <row r="254" spans="1:9" x14ac:dyDescent="0.3">
      <c r="A254" s="1">
        <v>45901</v>
      </c>
      <c r="B254" t="s">
        <v>5</v>
      </c>
      <c r="C254" t="s">
        <v>12</v>
      </c>
      <c r="D254" t="s">
        <v>11</v>
      </c>
      <c r="E254" s="2">
        <v>6899.92</v>
      </c>
      <c r="F254" s="3">
        <v>7500</v>
      </c>
      <c r="G254" s="3">
        <v>-600.07999999999993</v>
      </c>
      <c r="H254" s="4">
        <v>-8.0010666666666605E-2</v>
      </c>
      <c r="I254" t="s">
        <v>53</v>
      </c>
    </row>
    <row r="255" spans="1:9" x14ac:dyDescent="0.3">
      <c r="A255" s="1">
        <v>45901</v>
      </c>
      <c r="B255" t="s">
        <v>13</v>
      </c>
      <c r="C255" t="s">
        <v>14</v>
      </c>
      <c r="D255" t="s">
        <v>15</v>
      </c>
      <c r="E255" s="2">
        <v>39591.040000000001</v>
      </c>
      <c r="F255" s="3">
        <v>30000</v>
      </c>
      <c r="G255" s="3">
        <v>9591.0400000000009</v>
      </c>
      <c r="H255" s="4">
        <v>0.319701333333333</v>
      </c>
      <c r="I255" t="s">
        <v>53</v>
      </c>
    </row>
    <row r="256" spans="1:9" x14ac:dyDescent="0.3">
      <c r="A256" s="1">
        <v>45901</v>
      </c>
      <c r="B256" t="s">
        <v>13</v>
      </c>
      <c r="C256" t="s">
        <v>16</v>
      </c>
      <c r="D256" t="s">
        <v>11</v>
      </c>
      <c r="E256" s="2">
        <v>28558.27</v>
      </c>
      <c r="F256" s="3">
        <v>28000</v>
      </c>
      <c r="G256" s="3">
        <v>558.27000000000044</v>
      </c>
      <c r="H256" s="4">
        <v>1.9938214285714299E-2</v>
      </c>
      <c r="I256" t="s">
        <v>53</v>
      </c>
    </row>
    <row r="257" spans="1:9" x14ac:dyDescent="0.3">
      <c r="A257" s="1">
        <v>45901</v>
      </c>
      <c r="B257" t="s">
        <v>13</v>
      </c>
      <c r="C257" t="s">
        <v>17</v>
      </c>
      <c r="D257" t="s">
        <v>18</v>
      </c>
      <c r="E257" s="2">
        <v>9898.26</v>
      </c>
      <c r="F257" s="3">
        <v>7800</v>
      </c>
      <c r="G257" s="3">
        <v>2098.2600000000002</v>
      </c>
      <c r="H257" s="4">
        <v>0.269007692307692</v>
      </c>
      <c r="I257" t="s">
        <v>53</v>
      </c>
    </row>
    <row r="258" spans="1:9" x14ac:dyDescent="0.3">
      <c r="A258" s="1">
        <v>45901</v>
      </c>
      <c r="B258" t="s">
        <v>13</v>
      </c>
      <c r="C258" t="s">
        <v>19</v>
      </c>
      <c r="D258" t="s">
        <v>15</v>
      </c>
      <c r="E258" s="2">
        <v>5030.59</v>
      </c>
      <c r="F258" s="3">
        <v>5500</v>
      </c>
      <c r="G258" s="3">
        <v>-469.40999999999985</v>
      </c>
      <c r="H258" s="4">
        <v>-8.5347272727272702E-2</v>
      </c>
      <c r="I258" t="s">
        <v>54</v>
      </c>
    </row>
    <row r="259" spans="1:9" x14ac:dyDescent="0.3">
      <c r="A259" s="1">
        <v>45901</v>
      </c>
      <c r="B259" t="s">
        <v>20</v>
      </c>
      <c r="C259" t="s">
        <v>21</v>
      </c>
      <c r="D259" t="s">
        <v>22</v>
      </c>
      <c r="E259" s="2">
        <v>59007.41</v>
      </c>
      <c r="F259" s="3">
        <v>48000</v>
      </c>
      <c r="G259" s="3">
        <v>11007.410000000003</v>
      </c>
      <c r="H259" s="4">
        <v>0.229321041666667</v>
      </c>
      <c r="I259" t="s">
        <v>53</v>
      </c>
    </row>
    <row r="260" spans="1:9" x14ac:dyDescent="0.3">
      <c r="A260" s="1">
        <v>45901</v>
      </c>
      <c r="B260" t="s">
        <v>20</v>
      </c>
      <c r="C260" t="s">
        <v>23</v>
      </c>
      <c r="D260" t="s">
        <v>7</v>
      </c>
      <c r="E260" s="2">
        <v>64389.52</v>
      </c>
      <c r="F260" s="3">
        <v>65000</v>
      </c>
      <c r="G260" s="3">
        <v>-610.4800000000032</v>
      </c>
      <c r="H260" s="4">
        <v>-9.3920000000000496E-3</v>
      </c>
      <c r="I260" t="s">
        <v>54</v>
      </c>
    </row>
    <row r="261" spans="1:9" x14ac:dyDescent="0.3">
      <c r="A261" s="1">
        <v>45901</v>
      </c>
      <c r="B261" t="s">
        <v>20</v>
      </c>
      <c r="C261" t="s">
        <v>24</v>
      </c>
      <c r="D261" t="s">
        <v>22</v>
      </c>
      <c r="E261" s="2">
        <v>35606.559999999998</v>
      </c>
      <c r="F261" s="3">
        <v>35000</v>
      </c>
      <c r="G261" s="3">
        <v>606.55999999999767</v>
      </c>
      <c r="H261" s="4">
        <v>1.73302857142856E-2</v>
      </c>
      <c r="I261" t="s">
        <v>53</v>
      </c>
    </row>
    <row r="262" spans="1:9" x14ac:dyDescent="0.3">
      <c r="A262" s="1">
        <v>45901</v>
      </c>
      <c r="B262" t="s">
        <v>20</v>
      </c>
      <c r="C262" t="s">
        <v>25</v>
      </c>
      <c r="D262" t="s">
        <v>7</v>
      </c>
      <c r="E262" s="2">
        <v>27996.59</v>
      </c>
      <c r="F262" s="3">
        <v>21000</v>
      </c>
      <c r="G262" s="3">
        <v>6996.59</v>
      </c>
      <c r="H262" s="4">
        <v>0.33317095238095201</v>
      </c>
      <c r="I262" t="s">
        <v>53</v>
      </c>
    </row>
    <row r="263" spans="1:9" x14ac:dyDescent="0.3">
      <c r="A263" s="1">
        <v>45901</v>
      </c>
      <c r="B263" t="s">
        <v>20</v>
      </c>
      <c r="C263" t="s">
        <v>26</v>
      </c>
      <c r="D263" t="s">
        <v>22</v>
      </c>
      <c r="E263" s="2">
        <v>8822.3799999999992</v>
      </c>
      <c r="F263" s="3">
        <v>8500</v>
      </c>
      <c r="G263" s="3">
        <v>322.3799999999992</v>
      </c>
      <c r="H263" s="4">
        <v>3.79270588235293E-2</v>
      </c>
      <c r="I263" t="s">
        <v>53</v>
      </c>
    </row>
    <row r="264" spans="1:9" x14ac:dyDescent="0.3">
      <c r="A264" s="1">
        <v>45901</v>
      </c>
      <c r="B264" t="s">
        <v>20</v>
      </c>
      <c r="C264" t="s">
        <v>27</v>
      </c>
      <c r="D264" t="s">
        <v>22</v>
      </c>
      <c r="E264" s="2">
        <v>2843.43</v>
      </c>
      <c r="F264" s="3">
        <v>10000</v>
      </c>
      <c r="G264" s="3">
        <v>-7156.57</v>
      </c>
      <c r="H264" s="4">
        <v>-0.71565699999999999</v>
      </c>
      <c r="I264" t="s">
        <v>54</v>
      </c>
    </row>
    <row r="265" spans="1:9" x14ac:dyDescent="0.3">
      <c r="A265" s="1">
        <v>45901</v>
      </c>
      <c r="B265" t="s">
        <v>20</v>
      </c>
      <c r="C265" t="s">
        <v>28</v>
      </c>
      <c r="D265" t="s">
        <v>7</v>
      </c>
      <c r="E265" s="2">
        <v>4191.97</v>
      </c>
      <c r="F265" s="3">
        <v>4500</v>
      </c>
      <c r="G265" s="3">
        <v>-308.02999999999975</v>
      </c>
      <c r="H265" s="4">
        <v>-6.8451111111111101E-2</v>
      </c>
      <c r="I265" t="s">
        <v>54</v>
      </c>
    </row>
    <row r="266" spans="1:9" x14ac:dyDescent="0.3">
      <c r="A266" s="1">
        <v>45901</v>
      </c>
      <c r="B266" t="s">
        <v>29</v>
      </c>
      <c r="C266" t="s">
        <v>30</v>
      </c>
      <c r="D266" t="s">
        <v>31</v>
      </c>
      <c r="E266" s="2">
        <v>96268.23</v>
      </c>
      <c r="F266" s="3">
        <v>105000</v>
      </c>
      <c r="G266" s="3">
        <v>-8731.7700000000041</v>
      </c>
      <c r="H266" s="4">
        <v>-8.3159714285714295E-2</v>
      </c>
      <c r="I266" t="s">
        <v>54</v>
      </c>
    </row>
    <row r="267" spans="1:9" x14ac:dyDescent="0.3">
      <c r="A267" s="1">
        <v>45901</v>
      </c>
      <c r="B267" t="s">
        <v>29</v>
      </c>
      <c r="C267" t="s">
        <v>32</v>
      </c>
      <c r="D267" t="s">
        <v>33</v>
      </c>
      <c r="E267" s="2">
        <v>40325.660000000003</v>
      </c>
      <c r="F267" s="3">
        <v>40000</v>
      </c>
      <c r="G267" s="3">
        <v>325.66000000000349</v>
      </c>
      <c r="H267" s="4">
        <v>8.1415000000000896E-3</v>
      </c>
      <c r="I267" t="s">
        <v>53</v>
      </c>
    </row>
    <row r="268" spans="1:9" x14ac:dyDescent="0.3">
      <c r="A268" s="1">
        <v>45901</v>
      </c>
      <c r="B268" t="s">
        <v>29</v>
      </c>
      <c r="C268" t="s">
        <v>34</v>
      </c>
      <c r="D268" t="s">
        <v>31</v>
      </c>
      <c r="E268" s="2">
        <v>12268.03</v>
      </c>
      <c r="F268" s="3">
        <v>12000</v>
      </c>
      <c r="G268" s="3">
        <v>268.03000000000065</v>
      </c>
      <c r="H268" s="4">
        <v>2.2335833333333398E-2</v>
      </c>
      <c r="I268" t="s">
        <v>53</v>
      </c>
    </row>
    <row r="269" spans="1:9" x14ac:dyDescent="0.3">
      <c r="A269" s="1">
        <v>45901</v>
      </c>
      <c r="B269" t="s">
        <v>29</v>
      </c>
      <c r="C269" t="s">
        <v>35</v>
      </c>
      <c r="D269" t="s">
        <v>31</v>
      </c>
      <c r="E269" s="2">
        <v>9169.36</v>
      </c>
      <c r="F269" s="3">
        <v>8500</v>
      </c>
      <c r="G269" s="3">
        <v>669.36000000000058</v>
      </c>
      <c r="H269" s="4">
        <v>7.8748235294117702E-2</v>
      </c>
      <c r="I269" t="s">
        <v>53</v>
      </c>
    </row>
    <row r="270" spans="1:9" x14ac:dyDescent="0.3">
      <c r="A270" s="1">
        <v>45901</v>
      </c>
      <c r="B270" t="s">
        <v>29</v>
      </c>
      <c r="C270" t="s">
        <v>36</v>
      </c>
      <c r="D270" t="s">
        <v>31</v>
      </c>
      <c r="E270" s="2">
        <v>6700.17</v>
      </c>
      <c r="F270" s="3">
        <v>6500</v>
      </c>
      <c r="G270" s="3">
        <v>200.17000000000007</v>
      </c>
      <c r="H270" s="4">
        <v>3.0795384615384599E-2</v>
      </c>
      <c r="I270" t="s">
        <v>53</v>
      </c>
    </row>
    <row r="271" spans="1:9" x14ac:dyDescent="0.3">
      <c r="A271" s="1">
        <v>45901</v>
      </c>
      <c r="B271" t="s">
        <v>37</v>
      </c>
      <c r="C271" t="s">
        <v>38</v>
      </c>
      <c r="D271" t="s">
        <v>39</v>
      </c>
      <c r="E271" s="2">
        <v>54458.61</v>
      </c>
      <c r="F271" s="3">
        <v>55000</v>
      </c>
      <c r="G271" s="3">
        <v>-541.38999999999942</v>
      </c>
      <c r="H271" s="4">
        <v>-9.8434545454545407E-3</v>
      </c>
      <c r="I271" t="s">
        <v>54</v>
      </c>
    </row>
    <row r="272" spans="1:9" x14ac:dyDescent="0.3">
      <c r="A272" s="1">
        <v>45901</v>
      </c>
      <c r="B272" t="s">
        <v>37</v>
      </c>
      <c r="C272" t="s">
        <v>40</v>
      </c>
      <c r="D272" t="s">
        <v>18</v>
      </c>
      <c r="E272" s="2">
        <v>25317.1</v>
      </c>
      <c r="F272" s="3">
        <v>25000</v>
      </c>
      <c r="G272" s="3">
        <v>317.09999999999854</v>
      </c>
      <c r="H272" s="4">
        <v>1.26839999999999E-2</v>
      </c>
      <c r="I272" t="s">
        <v>53</v>
      </c>
    </row>
    <row r="273" spans="1:9" x14ac:dyDescent="0.3">
      <c r="A273" s="1">
        <v>45901</v>
      </c>
      <c r="B273" t="s">
        <v>37</v>
      </c>
      <c r="C273" t="s">
        <v>41</v>
      </c>
      <c r="D273" t="s">
        <v>15</v>
      </c>
      <c r="E273" s="2">
        <v>29759.25</v>
      </c>
      <c r="F273" s="3">
        <v>30000</v>
      </c>
      <c r="G273" s="3">
        <v>-240.75</v>
      </c>
      <c r="H273" s="4">
        <v>-8.0249999999999991E-3</v>
      </c>
      <c r="I273" t="s">
        <v>54</v>
      </c>
    </row>
    <row r="274" spans="1:9" x14ac:dyDescent="0.3">
      <c r="A274" s="1">
        <v>45901</v>
      </c>
      <c r="B274" t="s">
        <v>37</v>
      </c>
      <c r="C274" t="s">
        <v>42</v>
      </c>
      <c r="D274" t="s">
        <v>15</v>
      </c>
      <c r="E274" s="2">
        <v>18117.64</v>
      </c>
      <c r="F274" s="3">
        <v>18000</v>
      </c>
      <c r="G274" s="3">
        <v>117.63999999999942</v>
      </c>
      <c r="H274" s="4">
        <v>6.5355555555555202E-3</v>
      </c>
      <c r="I274" t="s">
        <v>53</v>
      </c>
    </row>
    <row r="275" spans="1:9" x14ac:dyDescent="0.3">
      <c r="A275" s="1">
        <v>45901</v>
      </c>
      <c r="B275" t="s">
        <v>37</v>
      </c>
      <c r="C275" t="s">
        <v>43</v>
      </c>
      <c r="D275" t="s">
        <v>18</v>
      </c>
      <c r="E275" s="2">
        <v>11425.19</v>
      </c>
      <c r="F275" s="3">
        <v>8500</v>
      </c>
      <c r="G275" s="3">
        <v>2925.1900000000005</v>
      </c>
      <c r="H275" s="4">
        <v>0.34414</v>
      </c>
      <c r="I275" t="s">
        <v>53</v>
      </c>
    </row>
    <row r="276" spans="1:9" x14ac:dyDescent="0.3">
      <c r="A276" s="1">
        <v>45901</v>
      </c>
      <c r="B276" t="s">
        <v>37</v>
      </c>
      <c r="C276" t="s">
        <v>44</v>
      </c>
      <c r="D276" t="s">
        <v>18</v>
      </c>
      <c r="E276" s="2">
        <v>7225.72</v>
      </c>
      <c r="F276" s="3">
        <v>7500</v>
      </c>
      <c r="G276" s="3">
        <v>-274.27999999999975</v>
      </c>
      <c r="H276" s="4">
        <v>-3.6570666666666599E-2</v>
      </c>
      <c r="I276" t="s">
        <v>54</v>
      </c>
    </row>
    <row r="277" spans="1:9" x14ac:dyDescent="0.3">
      <c r="A277" s="1">
        <v>45901</v>
      </c>
      <c r="B277" t="s">
        <v>37</v>
      </c>
      <c r="C277" t="s">
        <v>45</v>
      </c>
      <c r="D277" t="s">
        <v>15</v>
      </c>
      <c r="E277" s="2">
        <v>9794.4</v>
      </c>
      <c r="F277" s="3">
        <v>12000</v>
      </c>
      <c r="G277" s="3">
        <v>-2205.6000000000004</v>
      </c>
      <c r="H277" s="4">
        <v>-0.18379999999999999</v>
      </c>
      <c r="I277" t="s">
        <v>54</v>
      </c>
    </row>
    <row r="278" spans="1:9" x14ac:dyDescent="0.3">
      <c r="A278" s="1">
        <v>45901</v>
      </c>
      <c r="B278" t="s">
        <v>37</v>
      </c>
      <c r="C278" t="s">
        <v>46</v>
      </c>
      <c r="D278" t="s">
        <v>18</v>
      </c>
      <c r="E278" s="2">
        <v>4429.2700000000004</v>
      </c>
      <c r="F278" s="3">
        <v>4500</v>
      </c>
      <c r="G278" s="3">
        <v>-70.729999999999563</v>
      </c>
      <c r="H278" s="4">
        <v>-1.5717777777777699E-2</v>
      </c>
      <c r="I278" t="s">
        <v>54</v>
      </c>
    </row>
    <row r="279" spans="1:9" x14ac:dyDescent="0.3">
      <c r="A279" s="1">
        <v>45901</v>
      </c>
      <c r="B279" t="s">
        <v>37</v>
      </c>
      <c r="C279" t="s">
        <v>47</v>
      </c>
      <c r="D279" t="s">
        <v>15</v>
      </c>
      <c r="E279" s="2">
        <v>6127.74</v>
      </c>
      <c r="F279" s="3">
        <v>6000</v>
      </c>
      <c r="G279" s="3">
        <v>127.73999999999978</v>
      </c>
      <c r="H279" s="4">
        <v>2.129E-2</v>
      </c>
      <c r="I279" t="s">
        <v>53</v>
      </c>
    </row>
    <row r="280" spans="1:9" x14ac:dyDescent="0.3">
      <c r="A280" s="1">
        <v>45901</v>
      </c>
      <c r="B280" t="s">
        <v>37</v>
      </c>
      <c r="C280" t="s">
        <v>48</v>
      </c>
      <c r="D280" t="s">
        <v>15</v>
      </c>
      <c r="E280" s="2">
        <v>2272.35</v>
      </c>
      <c r="F280" s="3">
        <v>2500</v>
      </c>
      <c r="G280" s="3">
        <v>-227.65000000000009</v>
      </c>
      <c r="H280" s="4">
        <v>-9.1060000000000002E-2</v>
      </c>
      <c r="I280" t="s">
        <v>54</v>
      </c>
    </row>
    <row r="281" spans="1:9" x14ac:dyDescent="0.3">
      <c r="A281" s="1">
        <v>45931</v>
      </c>
      <c r="B281" t="s">
        <v>5</v>
      </c>
      <c r="C281" t="s">
        <v>6</v>
      </c>
      <c r="D281" t="s">
        <v>7</v>
      </c>
      <c r="E281" s="2">
        <v>53656.65</v>
      </c>
      <c r="F281" s="3">
        <v>43000</v>
      </c>
      <c r="G281" s="3">
        <v>10656.650000000001</v>
      </c>
      <c r="H281" s="4">
        <v>0.24782906976744201</v>
      </c>
      <c r="I281" t="s">
        <v>54</v>
      </c>
    </row>
    <row r="282" spans="1:9" x14ac:dyDescent="0.3">
      <c r="A282" s="1">
        <v>45931</v>
      </c>
      <c r="B282" t="s">
        <v>5</v>
      </c>
      <c r="C282" t="s">
        <v>8</v>
      </c>
      <c r="D282" t="s">
        <v>7</v>
      </c>
      <c r="E282" s="2">
        <v>102482.65</v>
      </c>
      <c r="F282" s="3">
        <v>82000</v>
      </c>
      <c r="G282" s="3">
        <v>20482.649999999994</v>
      </c>
      <c r="H282" s="4">
        <v>0.249788414634146</v>
      </c>
      <c r="I282" t="s">
        <v>54</v>
      </c>
    </row>
    <row r="283" spans="1:9" x14ac:dyDescent="0.3">
      <c r="A283" s="1">
        <v>45931</v>
      </c>
      <c r="B283" t="s">
        <v>5</v>
      </c>
      <c r="C283" t="s">
        <v>9</v>
      </c>
      <c r="D283" t="s">
        <v>7</v>
      </c>
      <c r="E283" s="2">
        <v>137402.94</v>
      </c>
      <c r="F283" s="3">
        <v>115000</v>
      </c>
      <c r="G283" s="3">
        <v>22402.940000000002</v>
      </c>
      <c r="H283" s="4">
        <v>0.194808173913044</v>
      </c>
      <c r="I283" t="s">
        <v>54</v>
      </c>
    </row>
    <row r="284" spans="1:9" x14ac:dyDescent="0.3">
      <c r="A284" s="1">
        <v>45931</v>
      </c>
      <c r="B284" t="s">
        <v>5</v>
      </c>
      <c r="C284" t="s">
        <v>10</v>
      </c>
      <c r="D284" t="s">
        <v>11</v>
      </c>
      <c r="E284" s="2">
        <v>31084.01</v>
      </c>
      <c r="F284" s="3">
        <v>24000</v>
      </c>
      <c r="G284" s="3">
        <v>7084.0099999999984</v>
      </c>
      <c r="H284" s="4">
        <v>0.29516708333333302</v>
      </c>
      <c r="I284" t="s">
        <v>54</v>
      </c>
    </row>
    <row r="285" spans="1:9" x14ac:dyDescent="0.3">
      <c r="A285" s="1">
        <v>45931</v>
      </c>
      <c r="B285" t="s">
        <v>5</v>
      </c>
      <c r="C285" t="s">
        <v>12</v>
      </c>
      <c r="D285" t="s">
        <v>11</v>
      </c>
      <c r="E285" s="2">
        <v>8103.2</v>
      </c>
      <c r="F285" s="3">
        <v>7500</v>
      </c>
      <c r="G285" s="3">
        <v>603.19999999999982</v>
      </c>
      <c r="H285" s="4">
        <v>8.0426666666666605E-2</v>
      </c>
      <c r="I285" t="s">
        <v>54</v>
      </c>
    </row>
    <row r="286" spans="1:9" x14ac:dyDescent="0.3">
      <c r="A286" s="1">
        <v>45931</v>
      </c>
      <c r="B286" t="s">
        <v>13</v>
      </c>
      <c r="C286" t="s">
        <v>14</v>
      </c>
      <c r="D286" t="s">
        <v>15</v>
      </c>
      <c r="E286" s="2">
        <v>32311.25</v>
      </c>
      <c r="F286" s="3">
        <v>30000</v>
      </c>
      <c r="G286" s="3">
        <v>2311.25</v>
      </c>
      <c r="H286" s="4">
        <v>7.7041666666666606E-2</v>
      </c>
      <c r="I286" t="s">
        <v>53</v>
      </c>
    </row>
    <row r="287" spans="1:9" x14ac:dyDescent="0.3">
      <c r="A287" s="1">
        <v>45931</v>
      </c>
      <c r="B287" t="s">
        <v>13</v>
      </c>
      <c r="C287" t="s">
        <v>16</v>
      </c>
      <c r="D287" t="s">
        <v>11</v>
      </c>
      <c r="E287" s="2">
        <v>28453.98</v>
      </c>
      <c r="F287" s="3">
        <v>28000</v>
      </c>
      <c r="G287" s="3">
        <v>453.97999999999956</v>
      </c>
      <c r="H287" s="4">
        <v>1.62135714285714E-2</v>
      </c>
      <c r="I287" t="s">
        <v>53</v>
      </c>
    </row>
    <row r="288" spans="1:9" x14ac:dyDescent="0.3">
      <c r="A288" s="1">
        <v>45931</v>
      </c>
      <c r="B288" t="s">
        <v>13</v>
      </c>
      <c r="C288" t="s">
        <v>17</v>
      </c>
      <c r="D288" t="s">
        <v>18</v>
      </c>
      <c r="E288" s="2">
        <v>9983.11</v>
      </c>
      <c r="F288" s="3">
        <v>7800</v>
      </c>
      <c r="G288" s="3">
        <v>2183.1100000000006</v>
      </c>
      <c r="H288" s="4">
        <v>0.27988589743589798</v>
      </c>
      <c r="I288" t="s">
        <v>53</v>
      </c>
    </row>
    <row r="289" spans="1:9" x14ac:dyDescent="0.3">
      <c r="A289" s="1">
        <v>45931</v>
      </c>
      <c r="B289" t="s">
        <v>13</v>
      </c>
      <c r="C289" t="s">
        <v>19</v>
      </c>
      <c r="D289" t="s">
        <v>15</v>
      </c>
      <c r="E289" s="2">
        <v>5051.53</v>
      </c>
      <c r="F289" s="3">
        <v>5500</v>
      </c>
      <c r="G289" s="3">
        <v>-448.47000000000025</v>
      </c>
      <c r="H289" s="4">
        <v>-8.1540000000000001E-2</v>
      </c>
      <c r="I289" t="s">
        <v>54</v>
      </c>
    </row>
    <row r="290" spans="1:9" x14ac:dyDescent="0.3">
      <c r="A290" s="1">
        <v>45931</v>
      </c>
      <c r="B290" t="s">
        <v>20</v>
      </c>
      <c r="C290" t="s">
        <v>21</v>
      </c>
      <c r="D290" t="s">
        <v>22</v>
      </c>
      <c r="E290" s="2">
        <v>44656.09</v>
      </c>
      <c r="F290" s="3">
        <v>48000</v>
      </c>
      <c r="G290" s="3">
        <v>-3343.9100000000035</v>
      </c>
      <c r="H290" s="4">
        <v>-6.9664791666666698E-2</v>
      </c>
      <c r="I290" t="s">
        <v>54</v>
      </c>
    </row>
    <row r="291" spans="1:9" x14ac:dyDescent="0.3">
      <c r="A291" s="1">
        <v>45931</v>
      </c>
      <c r="B291" t="s">
        <v>20</v>
      </c>
      <c r="C291" t="s">
        <v>23</v>
      </c>
      <c r="D291" t="s">
        <v>7</v>
      </c>
      <c r="E291" s="2">
        <v>64419.37</v>
      </c>
      <c r="F291" s="3">
        <v>65000</v>
      </c>
      <c r="G291" s="3">
        <v>-580.62999999999738</v>
      </c>
      <c r="H291" s="4">
        <v>-8.9327692307691903E-3</v>
      </c>
      <c r="I291" t="s">
        <v>54</v>
      </c>
    </row>
    <row r="292" spans="1:9" x14ac:dyDescent="0.3">
      <c r="A292" s="1">
        <v>45931</v>
      </c>
      <c r="B292" t="s">
        <v>20</v>
      </c>
      <c r="C292" t="s">
        <v>24</v>
      </c>
      <c r="D292" t="s">
        <v>22</v>
      </c>
      <c r="E292" s="2">
        <v>34304.959999999999</v>
      </c>
      <c r="F292" s="3">
        <v>35000</v>
      </c>
      <c r="G292" s="3">
        <v>-695.04000000000087</v>
      </c>
      <c r="H292" s="4">
        <v>-1.98582857142857E-2</v>
      </c>
      <c r="I292" t="s">
        <v>54</v>
      </c>
    </row>
    <row r="293" spans="1:9" x14ac:dyDescent="0.3">
      <c r="A293" s="1">
        <v>45931</v>
      </c>
      <c r="B293" t="s">
        <v>20</v>
      </c>
      <c r="C293" t="s">
        <v>25</v>
      </c>
      <c r="D293" t="s">
        <v>7</v>
      </c>
      <c r="E293" s="2">
        <v>28061.71</v>
      </c>
      <c r="F293" s="3">
        <v>21000</v>
      </c>
      <c r="G293" s="3">
        <v>7061.7099999999991</v>
      </c>
      <c r="H293" s="4">
        <v>0.33627190476190499</v>
      </c>
      <c r="I293" t="s">
        <v>53</v>
      </c>
    </row>
    <row r="294" spans="1:9" x14ac:dyDescent="0.3">
      <c r="A294" s="1">
        <v>45931</v>
      </c>
      <c r="B294" t="s">
        <v>20</v>
      </c>
      <c r="C294" t="s">
        <v>26</v>
      </c>
      <c r="D294" t="s">
        <v>22</v>
      </c>
      <c r="E294" s="2">
        <v>8616.5499999999993</v>
      </c>
      <c r="F294" s="3">
        <v>8500</v>
      </c>
      <c r="G294" s="3">
        <v>116.54999999999927</v>
      </c>
      <c r="H294" s="4">
        <v>1.37117647058823E-2</v>
      </c>
      <c r="I294" t="s">
        <v>53</v>
      </c>
    </row>
    <row r="295" spans="1:9" x14ac:dyDescent="0.3">
      <c r="A295" s="1">
        <v>45931</v>
      </c>
      <c r="B295" t="s">
        <v>20</v>
      </c>
      <c r="C295" t="s">
        <v>27</v>
      </c>
      <c r="D295" t="s">
        <v>22</v>
      </c>
      <c r="E295" s="2">
        <v>10086.5</v>
      </c>
      <c r="F295" s="3">
        <v>10000</v>
      </c>
      <c r="G295" s="3">
        <v>86.5</v>
      </c>
      <c r="H295" s="4">
        <v>8.6499999999999997E-3</v>
      </c>
      <c r="I295" t="s">
        <v>53</v>
      </c>
    </row>
    <row r="296" spans="1:9" x14ac:dyDescent="0.3">
      <c r="A296" s="1">
        <v>45931</v>
      </c>
      <c r="B296" t="s">
        <v>20</v>
      </c>
      <c r="C296" t="s">
        <v>28</v>
      </c>
      <c r="D296" t="s">
        <v>7</v>
      </c>
      <c r="E296" s="2">
        <v>4717.1099999999997</v>
      </c>
      <c r="F296" s="3">
        <v>4500</v>
      </c>
      <c r="G296" s="3">
        <v>217.10999999999967</v>
      </c>
      <c r="H296" s="4">
        <v>4.8246666666666597E-2</v>
      </c>
      <c r="I296" t="s">
        <v>53</v>
      </c>
    </row>
    <row r="297" spans="1:9" x14ac:dyDescent="0.3">
      <c r="A297" s="1">
        <v>45931</v>
      </c>
      <c r="B297" t="s">
        <v>29</v>
      </c>
      <c r="C297" t="s">
        <v>30</v>
      </c>
      <c r="D297" t="s">
        <v>31</v>
      </c>
      <c r="E297" s="2">
        <v>95196.39</v>
      </c>
      <c r="F297" s="3">
        <v>105000</v>
      </c>
      <c r="G297" s="3">
        <v>-9803.61</v>
      </c>
      <c r="H297" s="4">
        <v>-9.3367714285714304E-2</v>
      </c>
      <c r="I297" t="s">
        <v>54</v>
      </c>
    </row>
    <row r="298" spans="1:9" x14ac:dyDescent="0.3">
      <c r="A298" s="1">
        <v>45931</v>
      </c>
      <c r="B298" t="s">
        <v>29</v>
      </c>
      <c r="C298" t="s">
        <v>32</v>
      </c>
      <c r="D298" t="s">
        <v>33</v>
      </c>
      <c r="E298" s="2">
        <v>39884.300000000003</v>
      </c>
      <c r="F298" s="3">
        <v>40000</v>
      </c>
      <c r="G298" s="3">
        <v>-115.69999999999709</v>
      </c>
      <c r="H298" s="4">
        <v>-2.8924999999999298E-3</v>
      </c>
      <c r="I298" t="s">
        <v>54</v>
      </c>
    </row>
    <row r="299" spans="1:9" x14ac:dyDescent="0.3">
      <c r="A299" s="1">
        <v>45931</v>
      </c>
      <c r="B299" t="s">
        <v>29</v>
      </c>
      <c r="C299" t="s">
        <v>34</v>
      </c>
      <c r="D299" t="s">
        <v>31</v>
      </c>
      <c r="E299" s="2">
        <v>10823.21</v>
      </c>
      <c r="F299" s="3">
        <v>12000</v>
      </c>
      <c r="G299" s="3">
        <v>-1176.7900000000009</v>
      </c>
      <c r="H299" s="4">
        <v>-9.8065833333333394E-2</v>
      </c>
      <c r="I299" t="s">
        <v>54</v>
      </c>
    </row>
    <row r="300" spans="1:9" x14ac:dyDescent="0.3">
      <c r="A300" s="1">
        <v>45931</v>
      </c>
      <c r="B300" t="s">
        <v>29</v>
      </c>
      <c r="C300" t="s">
        <v>35</v>
      </c>
      <c r="D300" t="s">
        <v>31</v>
      </c>
      <c r="E300" s="2">
        <v>6980.59</v>
      </c>
      <c r="F300" s="3">
        <v>8500</v>
      </c>
      <c r="G300" s="3">
        <v>-1519.4099999999999</v>
      </c>
      <c r="H300" s="4">
        <v>-0.17875411764705901</v>
      </c>
      <c r="I300" t="s">
        <v>54</v>
      </c>
    </row>
    <row r="301" spans="1:9" x14ac:dyDescent="0.3">
      <c r="A301" s="1">
        <v>45931</v>
      </c>
      <c r="B301" t="s">
        <v>29</v>
      </c>
      <c r="C301" t="s">
        <v>36</v>
      </c>
      <c r="D301" t="s">
        <v>31</v>
      </c>
      <c r="E301" s="2">
        <v>6998.04</v>
      </c>
      <c r="F301" s="3">
        <v>6500</v>
      </c>
      <c r="G301" s="3">
        <v>498.03999999999996</v>
      </c>
      <c r="H301" s="4">
        <v>7.6621538461538394E-2</v>
      </c>
      <c r="I301" t="s">
        <v>53</v>
      </c>
    </row>
    <row r="302" spans="1:9" x14ac:dyDescent="0.3">
      <c r="A302" s="1">
        <v>45931</v>
      </c>
      <c r="B302" t="s">
        <v>37</v>
      </c>
      <c r="C302" t="s">
        <v>38</v>
      </c>
      <c r="D302" t="s">
        <v>39</v>
      </c>
      <c r="E302" s="2">
        <v>55444.32</v>
      </c>
      <c r="F302" s="3">
        <v>55000</v>
      </c>
      <c r="G302" s="3">
        <v>444.31999999999971</v>
      </c>
      <c r="H302" s="4">
        <v>8.0785454545454494E-3</v>
      </c>
      <c r="I302" t="s">
        <v>53</v>
      </c>
    </row>
    <row r="303" spans="1:9" x14ac:dyDescent="0.3">
      <c r="A303" s="1">
        <v>45931</v>
      </c>
      <c r="B303" t="s">
        <v>37</v>
      </c>
      <c r="C303" t="s">
        <v>40</v>
      </c>
      <c r="D303" t="s">
        <v>18</v>
      </c>
      <c r="E303" s="2">
        <v>25045.59</v>
      </c>
      <c r="F303" s="3">
        <v>25000</v>
      </c>
      <c r="G303" s="3">
        <v>45.590000000000146</v>
      </c>
      <c r="H303" s="4">
        <v>1.8236000000000101E-3</v>
      </c>
      <c r="I303" t="s">
        <v>53</v>
      </c>
    </row>
    <row r="304" spans="1:9" x14ac:dyDescent="0.3">
      <c r="A304" s="1">
        <v>45931</v>
      </c>
      <c r="B304" t="s">
        <v>37</v>
      </c>
      <c r="C304" t="s">
        <v>41</v>
      </c>
      <c r="D304" t="s">
        <v>15</v>
      </c>
      <c r="E304" s="2">
        <v>30401.51</v>
      </c>
      <c r="F304" s="3">
        <v>30000</v>
      </c>
      <c r="G304" s="3">
        <v>401.5099999999984</v>
      </c>
      <c r="H304" s="4">
        <v>1.3383666666666599E-2</v>
      </c>
      <c r="I304" t="s">
        <v>53</v>
      </c>
    </row>
    <row r="305" spans="1:9" x14ac:dyDescent="0.3">
      <c r="A305" s="1">
        <v>45931</v>
      </c>
      <c r="B305" t="s">
        <v>37</v>
      </c>
      <c r="C305" t="s">
        <v>42</v>
      </c>
      <c r="D305" t="s">
        <v>15</v>
      </c>
      <c r="E305" s="2">
        <v>18059.41</v>
      </c>
      <c r="F305" s="3">
        <v>18000</v>
      </c>
      <c r="G305" s="3">
        <v>59.409999999999854</v>
      </c>
      <c r="H305" s="4">
        <v>3.3005555555555501E-3</v>
      </c>
      <c r="I305" t="s">
        <v>53</v>
      </c>
    </row>
    <row r="306" spans="1:9" x14ac:dyDescent="0.3">
      <c r="A306" s="1">
        <v>45931</v>
      </c>
      <c r="B306" t="s">
        <v>37</v>
      </c>
      <c r="C306" t="s">
        <v>43</v>
      </c>
      <c r="D306" t="s">
        <v>18</v>
      </c>
      <c r="E306" s="2">
        <v>7866.42</v>
      </c>
      <c r="F306" s="3">
        <v>8500</v>
      </c>
      <c r="G306" s="3">
        <v>-633.57999999999993</v>
      </c>
      <c r="H306" s="4">
        <v>-7.4538823529411796E-2</v>
      </c>
      <c r="I306" t="s">
        <v>54</v>
      </c>
    </row>
    <row r="307" spans="1:9" x14ac:dyDescent="0.3">
      <c r="A307" s="1">
        <v>45931</v>
      </c>
      <c r="B307" t="s">
        <v>37</v>
      </c>
      <c r="C307" t="s">
        <v>44</v>
      </c>
      <c r="D307" t="s">
        <v>18</v>
      </c>
      <c r="E307" s="2">
        <v>7220.58</v>
      </c>
      <c r="F307" s="3">
        <v>7500</v>
      </c>
      <c r="G307" s="3">
        <v>-279.42000000000007</v>
      </c>
      <c r="H307" s="4">
        <v>-3.7255999999999997E-2</v>
      </c>
      <c r="I307" t="s">
        <v>54</v>
      </c>
    </row>
    <row r="308" spans="1:9" x14ac:dyDescent="0.3">
      <c r="A308" s="1">
        <v>45931</v>
      </c>
      <c r="B308" t="s">
        <v>37</v>
      </c>
      <c r="C308" t="s">
        <v>45</v>
      </c>
      <c r="D308" t="s">
        <v>15</v>
      </c>
      <c r="E308" s="2">
        <v>10536.79</v>
      </c>
      <c r="F308" s="3">
        <v>12000</v>
      </c>
      <c r="G308" s="3">
        <v>-1463.2099999999991</v>
      </c>
      <c r="H308" s="4">
        <v>-0.121934166666667</v>
      </c>
      <c r="I308" t="s">
        <v>54</v>
      </c>
    </row>
    <row r="309" spans="1:9" x14ac:dyDescent="0.3">
      <c r="A309" s="1">
        <v>45931</v>
      </c>
      <c r="B309" t="s">
        <v>37</v>
      </c>
      <c r="C309" t="s">
        <v>46</v>
      </c>
      <c r="D309" t="s">
        <v>18</v>
      </c>
      <c r="E309" s="2">
        <v>4571.82</v>
      </c>
      <c r="F309" s="3">
        <v>4500</v>
      </c>
      <c r="G309" s="3">
        <v>71.819999999999709</v>
      </c>
      <c r="H309" s="4">
        <v>1.5959999999999901E-2</v>
      </c>
      <c r="I309" t="s">
        <v>53</v>
      </c>
    </row>
    <row r="310" spans="1:9" x14ac:dyDescent="0.3">
      <c r="A310" s="1">
        <v>45931</v>
      </c>
      <c r="B310" t="s">
        <v>37</v>
      </c>
      <c r="C310" t="s">
        <v>47</v>
      </c>
      <c r="D310" t="s">
        <v>15</v>
      </c>
      <c r="E310" s="2">
        <v>6710.69</v>
      </c>
      <c r="F310" s="3">
        <v>6000</v>
      </c>
      <c r="G310" s="3">
        <v>710.6899999999996</v>
      </c>
      <c r="H310" s="4">
        <v>0.118448333333333</v>
      </c>
      <c r="I310" t="s">
        <v>53</v>
      </c>
    </row>
    <row r="311" spans="1:9" x14ac:dyDescent="0.3">
      <c r="A311" s="1">
        <v>45931</v>
      </c>
      <c r="B311" t="s">
        <v>37</v>
      </c>
      <c r="C311" t="s">
        <v>48</v>
      </c>
      <c r="D311" t="s">
        <v>15</v>
      </c>
      <c r="E311" s="2">
        <v>2860.7</v>
      </c>
      <c r="F311" s="3">
        <v>2500</v>
      </c>
      <c r="G311" s="3">
        <v>360.69999999999982</v>
      </c>
      <c r="H311" s="4">
        <v>0.14427999999999999</v>
      </c>
      <c r="I311" t="s">
        <v>53</v>
      </c>
    </row>
    <row r="312" spans="1:9" x14ac:dyDescent="0.3">
      <c r="A312" s="1">
        <v>45962</v>
      </c>
      <c r="B312" t="s">
        <v>5</v>
      </c>
      <c r="C312" t="s">
        <v>6</v>
      </c>
      <c r="D312" t="s">
        <v>7</v>
      </c>
      <c r="E312" s="2">
        <v>64577.32</v>
      </c>
      <c r="F312" s="3">
        <v>43000</v>
      </c>
      <c r="G312" s="3">
        <v>21577.32</v>
      </c>
      <c r="H312" s="4">
        <v>0.50179813953488395</v>
      </c>
      <c r="I312" t="s">
        <v>54</v>
      </c>
    </row>
    <row r="313" spans="1:9" x14ac:dyDescent="0.3">
      <c r="A313" s="1">
        <v>45962</v>
      </c>
      <c r="B313" t="s">
        <v>5</v>
      </c>
      <c r="C313" t="s">
        <v>8</v>
      </c>
      <c r="D313" t="s">
        <v>7</v>
      </c>
      <c r="E313" s="2">
        <v>113899.2</v>
      </c>
      <c r="F313" s="3">
        <v>82000</v>
      </c>
      <c r="G313" s="3">
        <v>31899.199999999997</v>
      </c>
      <c r="H313" s="4">
        <v>0.38901463414634102</v>
      </c>
      <c r="I313" t="s">
        <v>54</v>
      </c>
    </row>
    <row r="314" spans="1:9" x14ac:dyDescent="0.3">
      <c r="A314" s="1">
        <v>45962</v>
      </c>
      <c r="B314" t="s">
        <v>5</v>
      </c>
      <c r="C314" t="s">
        <v>9</v>
      </c>
      <c r="D314" t="s">
        <v>7</v>
      </c>
      <c r="E314" s="2">
        <v>161452.21</v>
      </c>
      <c r="F314" s="3">
        <v>115000</v>
      </c>
      <c r="G314" s="3">
        <v>46452.209999999992</v>
      </c>
      <c r="H314" s="4">
        <v>0.40393226086956502</v>
      </c>
      <c r="I314" t="s">
        <v>54</v>
      </c>
    </row>
    <row r="315" spans="1:9" x14ac:dyDescent="0.3">
      <c r="A315" s="1">
        <v>45962</v>
      </c>
      <c r="B315" t="s">
        <v>5</v>
      </c>
      <c r="C315" t="s">
        <v>10</v>
      </c>
      <c r="D315" t="s">
        <v>11</v>
      </c>
      <c r="E315" s="2">
        <v>25233.52</v>
      </c>
      <c r="F315" s="3">
        <v>24000</v>
      </c>
      <c r="G315" s="3">
        <v>1233.5200000000004</v>
      </c>
      <c r="H315" s="4">
        <v>5.1396666666666702E-2</v>
      </c>
      <c r="I315" t="s">
        <v>54</v>
      </c>
    </row>
    <row r="316" spans="1:9" x14ac:dyDescent="0.3">
      <c r="A316" s="1">
        <v>45962</v>
      </c>
      <c r="B316" t="s">
        <v>5</v>
      </c>
      <c r="C316" t="s">
        <v>12</v>
      </c>
      <c r="D316" t="s">
        <v>11</v>
      </c>
      <c r="E316" s="2">
        <v>11213.47</v>
      </c>
      <c r="F316" s="3">
        <v>7500</v>
      </c>
      <c r="G316" s="3">
        <v>3713.4699999999993</v>
      </c>
      <c r="H316" s="4">
        <v>0.49512933333333298</v>
      </c>
      <c r="I316" t="s">
        <v>54</v>
      </c>
    </row>
    <row r="317" spans="1:9" x14ac:dyDescent="0.3">
      <c r="A317" s="1">
        <v>45962</v>
      </c>
      <c r="B317" t="s">
        <v>13</v>
      </c>
      <c r="C317" t="s">
        <v>14</v>
      </c>
      <c r="D317" t="s">
        <v>15</v>
      </c>
      <c r="E317" s="2">
        <v>50631.58</v>
      </c>
      <c r="F317" s="3">
        <v>30000</v>
      </c>
      <c r="G317" s="3">
        <v>20631.580000000002</v>
      </c>
      <c r="H317" s="4">
        <v>0.68771933333333302</v>
      </c>
      <c r="I317" t="s">
        <v>53</v>
      </c>
    </row>
    <row r="318" spans="1:9" x14ac:dyDescent="0.3">
      <c r="A318" s="1">
        <v>45962</v>
      </c>
      <c r="B318" t="s">
        <v>13</v>
      </c>
      <c r="C318" t="s">
        <v>16</v>
      </c>
      <c r="D318" t="s">
        <v>11</v>
      </c>
      <c r="E318" s="2">
        <v>27895.14</v>
      </c>
      <c r="F318" s="3">
        <v>28000</v>
      </c>
      <c r="G318" s="3">
        <v>-104.86000000000058</v>
      </c>
      <c r="H318" s="4">
        <v>-3.74500000000002E-3</v>
      </c>
      <c r="I318" t="s">
        <v>54</v>
      </c>
    </row>
    <row r="319" spans="1:9" x14ac:dyDescent="0.3">
      <c r="A319" s="1">
        <v>45962</v>
      </c>
      <c r="B319" t="s">
        <v>13</v>
      </c>
      <c r="C319" t="s">
        <v>17</v>
      </c>
      <c r="D319" t="s">
        <v>18</v>
      </c>
      <c r="E319" s="2">
        <v>11046.6</v>
      </c>
      <c r="F319" s="3">
        <v>7800</v>
      </c>
      <c r="G319" s="3">
        <v>3246.6000000000004</v>
      </c>
      <c r="H319" s="4">
        <v>0.41623076923076902</v>
      </c>
      <c r="I319" t="s">
        <v>53</v>
      </c>
    </row>
    <row r="320" spans="1:9" x14ac:dyDescent="0.3">
      <c r="A320" s="1">
        <v>45962</v>
      </c>
      <c r="B320" t="s">
        <v>13</v>
      </c>
      <c r="C320" t="s">
        <v>19</v>
      </c>
      <c r="D320" t="s">
        <v>15</v>
      </c>
      <c r="E320" s="2">
        <v>5120.01</v>
      </c>
      <c r="F320" s="3">
        <v>5500</v>
      </c>
      <c r="G320" s="3">
        <v>-379.98999999999978</v>
      </c>
      <c r="H320" s="4">
        <v>-6.9089090909090906E-2</v>
      </c>
      <c r="I320" t="s">
        <v>54</v>
      </c>
    </row>
    <row r="321" spans="1:9" x14ac:dyDescent="0.3">
      <c r="A321" s="1">
        <v>45962</v>
      </c>
      <c r="B321" t="s">
        <v>20</v>
      </c>
      <c r="C321" t="s">
        <v>21</v>
      </c>
      <c r="D321" t="s">
        <v>22</v>
      </c>
      <c r="E321" s="2">
        <v>46934.46</v>
      </c>
      <c r="F321" s="3">
        <v>48000</v>
      </c>
      <c r="G321" s="3">
        <v>-1065.5400000000009</v>
      </c>
      <c r="H321" s="4">
        <v>-2.219875E-2</v>
      </c>
      <c r="I321" t="s">
        <v>54</v>
      </c>
    </row>
    <row r="322" spans="1:9" x14ac:dyDescent="0.3">
      <c r="A322" s="1">
        <v>45962</v>
      </c>
      <c r="B322" t="s">
        <v>20</v>
      </c>
      <c r="C322" t="s">
        <v>23</v>
      </c>
      <c r="D322" t="s">
        <v>7</v>
      </c>
      <c r="E322" s="2">
        <v>65947.97</v>
      </c>
      <c r="F322" s="3">
        <v>65000</v>
      </c>
      <c r="G322" s="3">
        <v>947.97000000000116</v>
      </c>
      <c r="H322" s="4">
        <v>1.4584153846153899E-2</v>
      </c>
      <c r="I322" t="s">
        <v>53</v>
      </c>
    </row>
    <row r="323" spans="1:9" x14ac:dyDescent="0.3">
      <c r="A323" s="1">
        <v>45962</v>
      </c>
      <c r="B323" t="s">
        <v>20</v>
      </c>
      <c r="C323" t="s">
        <v>24</v>
      </c>
      <c r="D323" t="s">
        <v>22</v>
      </c>
      <c r="E323" s="2">
        <v>35666.69</v>
      </c>
      <c r="F323" s="3">
        <v>35000</v>
      </c>
      <c r="G323" s="3">
        <v>666.69000000000233</v>
      </c>
      <c r="H323" s="4">
        <v>1.9048285714285799E-2</v>
      </c>
      <c r="I323" t="s">
        <v>53</v>
      </c>
    </row>
    <row r="324" spans="1:9" x14ac:dyDescent="0.3">
      <c r="A324" s="1">
        <v>45962</v>
      </c>
      <c r="B324" t="s">
        <v>20</v>
      </c>
      <c r="C324" t="s">
        <v>25</v>
      </c>
      <c r="D324" t="s">
        <v>7</v>
      </c>
      <c r="E324" s="2">
        <v>31981.53</v>
      </c>
      <c r="F324" s="3">
        <v>21000</v>
      </c>
      <c r="G324" s="3">
        <v>10981.529999999999</v>
      </c>
      <c r="H324" s="4">
        <v>0.52293000000000001</v>
      </c>
      <c r="I324" t="s">
        <v>53</v>
      </c>
    </row>
    <row r="325" spans="1:9" x14ac:dyDescent="0.3">
      <c r="A325" s="1">
        <v>45962</v>
      </c>
      <c r="B325" t="s">
        <v>20</v>
      </c>
      <c r="C325" t="s">
        <v>26</v>
      </c>
      <c r="D325" t="s">
        <v>22</v>
      </c>
      <c r="E325" s="2">
        <v>8824.2000000000007</v>
      </c>
      <c r="F325" s="3">
        <v>8500</v>
      </c>
      <c r="G325" s="3">
        <v>324.20000000000073</v>
      </c>
      <c r="H325" s="4">
        <v>3.8141176470588303E-2</v>
      </c>
      <c r="I325" t="s">
        <v>53</v>
      </c>
    </row>
    <row r="326" spans="1:9" x14ac:dyDescent="0.3">
      <c r="A326" s="1">
        <v>45962</v>
      </c>
      <c r="B326" t="s">
        <v>20</v>
      </c>
      <c r="C326" t="s">
        <v>27</v>
      </c>
      <c r="D326" t="s">
        <v>22</v>
      </c>
      <c r="E326" s="2">
        <v>2429.7399999999998</v>
      </c>
      <c r="F326" s="3">
        <v>10000</v>
      </c>
      <c r="G326" s="3">
        <v>-7570.26</v>
      </c>
      <c r="H326" s="4">
        <v>-0.75702599999999998</v>
      </c>
      <c r="I326" t="s">
        <v>54</v>
      </c>
    </row>
    <row r="327" spans="1:9" x14ac:dyDescent="0.3">
      <c r="A327" s="1">
        <v>45962</v>
      </c>
      <c r="B327" t="s">
        <v>20</v>
      </c>
      <c r="C327" t="s">
        <v>28</v>
      </c>
      <c r="D327" t="s">
        <v>7</v>
      </c>
      <c r="E327" s="2">
        <v>4712.91</v>
      </c>
      <c r="F327" s="3">
        <v>4500</v>
      </c>
      <c r="G327" s="3">
        <v>212.90999999999985</v>
      </c>
      <c r="H327" s="4">
        <v>4.7313333333333298E-2</v>
      </c>
      <c r="I327" t="s">
        <v>53</v>
      </c>
    </row>
    <row r="328" spans="1:9" x14ac:dyDescent="0.3">
      <c r="A328" s="1">
        <v>45962</v>
      </c>
      <c r="B328" t="s">
        <v>29</v>
      </c>
      <c r="C328" t="s">
        <v>30</v>
      </c>
      <c r="D328" t="s">
        <v>31</v>
      </c>
      <c r="E328" s="2">
        <v>94362.3</v>
      </c>
      <c r="F328" s="3">
        <v>105000</v>
      </c>
      <c r="G328" s="3">
        <v>-10637.699999999997</v>
      </c>
      <c r="H328" s="4">
        <v>-0.101311428571429</v>
      </c>
      <c r="I328" t="s">
        <v>54</v>
      </c>
    </row>
    <row r="329" spans="1:9" x14ac:dyDescent="0.3">
      <c r="A329" s="1">
        <v>45962</v>
      </c>
      <c r="B329" t="s">
        <v>29</v>
      </c>
      <c r="C329" t="s">
        <v>32</v>
      </c>
      <c r="D329" t="s">
        <v>33</v>
      </c>
      <c r="E329" s="2">
        <v>40689.31</v>
      </c>
      <c r="F329" s="3">
        <v>40000</v>
      </c>
      <c r="G329" s="3">
        <v>689.30999999999767</v>
      </c>
      <c r="H329" s="4">
        <v>1.7232749999999901E-2</v>
      </c>
      <c r="I329" t="s">
        <v>53</v>
      </c>
    </row>
    <row r="330" spans="1:9" x14ac:dyDescent="0.3">
      <c r="A330" s="1">
        <v>45962</v>
      </c>
      <c r="B330" t="s">
        <v>29</v>
      </c>
      <c r="C330" t="s">
        <v>34</v>
      </c>
      <c r="D330" t="s">
        <v>31</v>
      </c>
      <c r="E330" s="2">
        <v>12725.36</v>
      </c>
      <c r="F330" s="3">
        <v>12000</v>
      </c>
      <c r="G330" s="3">
        <v>725.36000000000058</v>
      </c>
      <c r="H330" s="4">
        <v>6.0446666666666697E-2</v>
      </c>
      <c r="I330" t="s">
        <v>53</v>
      </c>
    </row>
    <row r="331" spans="1:9" x14ac:dyDescent="0.3">
      <c r="A331" s="1">
        <v>45962</v>
      </c>
      <c r="B331" t="s">
        <v>29</v>
      </c>
      <c r="C331" t="s">
        <v>35</v>
      </c>
      <c r="D331" t="s">
        <v>31</v>
      </c>
      <c r="E331" s="2">
        <v>8873.75</v>
      </c>
      <c r="F331" s="3">
        <v>8500</v>
      </c>
      <c r="G331" s="3">
        <v>373.75</v>
      </c>
      <c r="H331" s="4">
        <v>4.3970588235294102E-2</v>
      </c>
      <c r="I331" t="s">
        <v>53</v>
      </c>
    </row>
    <row r="332" spans="1:9" x14ac:dyDescent="0.3">
      <c r="A332" s="1">
        <v>45962</v>
      </c>
      <c r="B332" t="s">
        <v>29</v>
      </c>
      <c r="C332" t="s">
        <v>36</v>
      </c>
      <c r="D332" t="s">
        <v>31</v>
      </c>
      <c r="E332" s="2">
        <v>6903.97</v>
      </c>
      <c r="F332" s="3">
        <v>6500</v>
      </c>
      <c r="G332" s="3">
        <v>403.97000000000025</v>
      </c>
      <c r="H332" s="4">
        <v>6.2149230769230797E-2</v>
      </c>
      <c r="I332" t="s">
        <v>53</v>
      </c>
    </row>
    <row r="333" spans="1:9" x14ac:dyDescent="0.3">
      <c r="A333" s="1">
        <v>45962</v>
      </c>
      <c r="B333" t="s">
        <v>37</v>
      </c>
      <c r="C333" t="s">
        <v>38</v>
      </c>
      <c r="D333" t="s">
        <v>39</v>
      </c>
      <c r="E333" s="2">
        <v>54743.49</v>
      </c>
      <c r="F333" s="3">
        <v>55000</v>
      </c>
      <c r="G333" s="3">
        <v>-256.51000000000204</v>
      </c>
      <c r="H333" s="4">
        <v>-4.6638181818182203E-3</v>
      </c>
      <c r="I333" t="s">
        <v>54</v>
      </c>
    </row>
    <row r="334" spans="1:9" x14ac:dyDescent="0.3">
      <c r="A334" s="1">
        <v>45962</v>
      </c>
      <c r="B334" t="s">
        <v>37</v>
      </c>
      <c r="C334" t="s">
        <v>40</v>
      </c>
      <c r="D334" t="s">
        <v>18</v>
      </c>
      <c r="E334" s="2">
        <v>25287.37</v>
      </c>
      <c r="F334" s="3">
        <v>25000</v>
      </c>
      <c r="G334" s="3">
        <v>287.36999999999898</v>
      </c>
      <c r="H334" s="4">
        <v>1.1494799999999999E-2</v>
      </c>
      <c r="I334" t="s">
        <v>53</v>
      </c>
    </row>
    <row r="335" spans="1:9" x14ac:dyDescent="0.3">
      <c r="A335" s="1">
        <v>45962</v>
      </c>
      <c r="B335" t="s">
        <v>37</v>
      </c>
      <c r="C335" t="s">
        <v>41</v>
      </c>
      <c r="D335" t="s">
        <v>15</v>
      </c>
      <c r="E335" s="2">
        <v>29529.71</v>
      </c>
      <c r="F335" s="3">
        <v>30000</v>
      </c>
      <c r="G335" s="3">
        <v>-470.29000000000087</v>
      </c>
      <c r="H335" s="4">
        <v>-1.56763333333334E-2</v>
      </c>
      <c r="I335" t="s">
        <v>54</v>
      </c>
    </row>
    <row r="336" spans="1:9" x14ac:dyDescent="0.3">
      <c r="A336" s="1">
        <v>45962</v>
      </c>
      <c r="B336" t="s">
        <v>37</v>
      </c>
      <c r="C336" t="s">
        <v>42</v>
      </c>
      <c r="D336" t="s">
        <v>15</v>
      </c>
      <c r="E336" s="2">
        <v>18267.96</v>
      </c>
      <c r="F336" s="3">
        <v>18000</v>
      </c>
      <c r="G336" s="3">
        <v>267.95999999999913</v>
      </c>
      <c r="H336" s="4">
        <v>1.48866666666666E-2</v>
      </c>
      <c r="I336" t="s">
        <v>53</v>
      </c>
    </row>
    <row r="337" spans="1:9" x14ac:dyDescent="0.3">
      <c r="A337" s="1">
        <v>45962</v>
      </c>
      <c r="B337" t="s">
        <v>37</v>
      </c>
      <c r="C337" t="s">
        <v>43</v>
      </c>
      <c r="D337" t="s">
        <v>18</v>
      </c>
      <c r="E337" s="2">
        <v>11063.67</v>
      </c>
      <c r="F337" s="3">
        <v>8500</v>
      </c>
      <c r="G337" s="3">
        <v>2563.67</v>
      </c>
      <c r="H337" s="4">
        <v>0.30160823529411801</v>
      </c>
      <c r="I337" t="s">
        <v>53</v>
      </c>
    </row>
    <row r="338" spans="1:9" x14ac:dyDescent="0.3">
      <c r="A338" s="1">
        <v>45962</v>
      </c>
      <c r="B338" t="s">
        <v>37</v>
      </c>
      <c r="C338" t="s">
        <v>44</v>
      </c>
      <c r="D338" t="s">
        <v>18</v>
      </c>
      <c r="E338" s="2">
        <v>7291.83</v>
      </c>
      <c r="F338" s="3">
        <v>7500</v>
      </c>
      <c r="G338" s="3">
        <v>-208.17000000000007</v>
      </c>
      <c r="H338" s="4">
        <v>-2.7755999999999999E-2</v>
      </c>
      <c r="I338" t="s">
        <v>54</v>
      </c>
    </row>
    <row r="339" spans="1:9" x14ac:dyDescent="0.3">
      <c r="A339" s="1">
        <v>45962</v>
      </c>
      <c r="B339" t="s">
        <v>37</v>
      </c>
      <c r="C339" t="s">
        <v>45</v>
      </c>
      <c r="D339" t="s">
        <v>15</v>
      </c>
      <c r="E339" s="2">
        <v>12493.86</v>
      </c>
      <c r="F339" s="3">
        <v>12000</v>
      </c>
      <c r="G339" s="3">
        <v>493.86000000000058</v>
      </c>
      <c r="H339" s="4">
        <v>4.1154999999999997E-2</v>
      </c>
      <c r="I339" t="s">
        <v>53</v>
      </c>
    </row>
    <row r="340" spans="1:9" x14ac:dyDescent="0.3">
      <c r="A340" s="1">
        <v>45962</v>
      </c>
      <c r="B340" t="s">
        <v>37</v>
      </c>
      <c r="C340" t="s">
        <v>46</v>
      </c>
      <c r="D340" t="s">
        <v>18</v>
      </c>
      <c r="E340" s="2">
        <v>4492.8500000000004</v>
      </c>
      <c r="F340" s="3">
        <v>4500</v>
      </c>
      <c r="G340" s="3">
        <v>-7.1499999999996362</v>
      </c>
      <c r="H340" s="4">
        <v>-1.5888888888888101E-3</v>
      </c>
      <c r="I340" t="s">
        <v>54</v>
      </c>
    </row>
    <row r="341" spans="1:9" x14ac:dyDescent="0.3">
      <c r="A341" s="1">
        <v>45962</v>
      </c>
      <c r="B341" t="s">
        <v>37</v>
      </c>
      <c r="C341" t="s">
        <v>47</v>
      </c>
      <c r="D341" t="s">
        <v>15</v>
      </c>
      <c r="E341" s="2">
        <v>5532.46</v>
      </c>
      <c r="F341" s="3">
        <v>6000</v>
      </c>
      <c r="G341" s="3">
        <v>-467.53999999999996</v>
      </c>
      <c r="H341" s="4">
        <v>-7.7923333333333303E-2</v>
      </c>
      <c r="I341" t="s">
        <v>54</v>
      </c>
    </row>
    <row r="342" spans="1:9" x14ac:dyDescent="0.3">
      <c r="A342" s="1">
        <v>45962</v>
      </c>
      <c r="B342" t="s">
        <v>37</v>
      </c>
      <c r="C342" t="s">
        <v>48</v>
      </c>
      <c r="D342" t="s">
        <v>15</v>
      </c>
      <c r="E342" s="2">
        <v>2795.35</v>
      </c>
      <c r="F342" s="3">
        <v>2500</v>
      </c>
      <c r="G342" s="3">
        <v>295.34999999999991</v>
      </c>
      <c r="H342" s="4">
        <v>0.11814</v>
      </c>
      <c r="I342" t="s">
        <v>53</v>
      </c>
    </row>
    <row r="343" spans="1:9" x14ac:dyDescent="0.3">
      <c r="A343" s="1">
        <v>45992</v>
      </c>
      <c r="B343" t="s">
        <v>5</v>
      </c>
      <c r="C343" t="s">
        <v>6</v>
      </c>
      <c r="D343" t="s">
        <v>7</v>
      </c>
      <c r="E343" s="2">
        <v>61415.17</v>
      </c>
      <c r="F343" s="3">
        <v>43000</v>
      </c>
      <c r="G343" s="3">
        <v>18415.169999999998</v>
      </c>
      <c r="H343" s="4">
        <v>0.42825976744186001</v>
      </c>
      <c r="I343" t="s">
        <v>54</v>
      </c>
    </row>
    <row r="344" spans="1:9" x14ac:dyDescent="0.3">
      <c r="A344" s="1">
        <v>45992</v>
      </c>
      <c r="B344" t="s">
        <v>5</v>
      </c>
      <c r="C344" t="s">
        <v>8</v>
      </c>
      <c r="D344" t="s">
        <v>7</v>
      </c>
      <c r="E344" s="2">
        <v>113574.46</v>
      </c>
      <c r="F344" s="3">
        <v>82000</v>
      </c>
      <c r="G344" s="3">
        <v>31574.460000000006</v>
      </c>
      <c r="H344" s="4">
        <v>0.38505439024390298</v>
      </c>
      <c r="I344" t="s">
        <v>54</v>
      </c>
    </row>
    <row r="345" spans="1:9" x14ac:dyDescent="0.3">
      <c r="A345" s="1">
        <v>45992</v>
      </c>
      <c r="B345" t="s">
        <v>5</v>
      </c>
      <c r="C345" t="s">
        <v>9</v>
      </c>
      <c r="D345" t="s">
        <v>7</v>
      </c>
      <c r="E345" s="2">
        <v>163193.53</v>
      </c>
      <c r="F345" s="3">
        <v>115000</v>
      </c>
      <c r="G345" s="3">
        <v>48193.53</v>
      </c>
      <c r="H345" s="4">
        <v>0.41907417391304302</v>
      </c>
      <c r="I345" t="s">
        <v>54</v>
      </c>
    </row>
    <row r="346" spans="1:9" x14ac:dyDescent="0.3">
      <c r="A346" s="1">
        <v>45992</v>
      </c>
      <c r="B346" t="s">
        <v>5</v>
      </c>
      <c r="C346" t="s">
        <v>10</v>
      </c>
      <c r="D346" t="s">
        <v>11</v>
      </c>
      <c r="E346" s="2">
        <v>28404.799999999999</v>
      </c>
      <c r="F346" s="3">
        <v>24000</v>
      </c>
      <c r="G346" s="3">
        <v>4404.7999999999993</v>
      </c>
      <c r="H346" s="4">
        <v>0.18353333333333299</v>
      </c>
      <c r="I346" t="s">
        <v>54</v>
      </c>
    </row>
    <row r="347" spans="1:9" x14ac:dyDescent="0.3">
      <c r="A347" s="1">
        <v>45992</v>
      </c>
      <c r="B347" t="s">
        <v>5</v>
      </c>
      <c r="C347" t="s">
        <v>12</v>
      </c>
      <c r="D347" t="s">
        <v>11</v>
      </c>
      <c r="E347" s="2">
        <v>11893.65</v>
      </c>
      <c r="F347" s="3">
        <v>7500</v>
      </c>
      <c r="G347" s="3">
        <v>4393.6499999999996</v>
      </c>
      <c r="H347" s="4">
        <v>0.58582000000000001</v>
      </c>
      <c r="I347" t="s">
        <v>54</v>
      </c>
    </row>
    <row r="348" spans="1:9" x14ac:dyDescent="0.3">
      <c r="A348" s="1">
        <v>45992</v>
      </c>
      <c r="B348" t="s">
        <v>13</v>
      </c>
      <c r="C348" t="s">
        <v>14</v>
      </c>
      <c r="D348" t="s">
        <v>15</v>
      </c>
      <c r="E348" s="2">
        <v>51854.51</v>
      </c>
      <c r="F348" s="3">
        <v>30000</v>
      </c>
      <c r="G348" s="3">
        <v>21854.510000000002</v>
      </c>
      <c r="H348" s="4">
        <v>0.72848366666666697</v>
      </c>
      <c r="I348" t="s">
        <v>53</v>
      </c>
    </row>
    <row r="349" spans="1:9" x14ac:dyDescent="0.3">
      <c r="A349" s="1">
        <v>45992</v>
      </c>
      <c r="B349" t="s">
        <v>13</v>
      </c>
      <c r="C349" t="s">
        <v>16</v>
      </c>
      <c r="D349" t="s">
        <v>11</v>
      </c>
      <c r="E349" s="2">
        <v>27752.62</v>
      </c>
      <c r="F349" s="3">
        <v>28000</v>
      </c>
      <c r="G349" s="3">
        <v>-247.38000000000102</v>
      </c>
      <c r="H349" s="4">
        <v>-8.8350000000000407E-3</v>
      </c>
      <c r="I349" t="s">
        <v>54</v>
      </c>
    </row>
    <row r="350" spans="1:9" x14ac:dyDescent="0.3">
      <c r="A350" s="1">
        <v>45992</v>
      </c>
      <c r="B350" t="s">
        <v>13</v>
      </c>
      <c r="C350" t="s">
        <v>17</v>
      </c>
      <c r="D350" t="s">
        <v>18</v>
      </c>
      <c r="E350" s="2">
        <v>11131.26</v>
      </c>
      <c r="F350" s="3">
        <v>7800</v>
      </c>
      <c r="G350" s="3">
        <v>3331.26</v>
      </c>
      <c r="H350" s="4">
        <v>0.42708461538461501</v>
      </c>
      <c r="I350" t="s">
        <v>53</v>
      </c>
    </row>
    <row r="351" spans="1:9" x14ac:dyDescent="0.3">
      <c r="A351" s="1">
        <v>45992</v>
      </c>
      <c r="B351" t="s">
        <v>13</v>
      </c>
      <c r="C351" t="s">
        <v>19</v>
      </c>
      <c r="D351" t="s">
        <v>15</v>
      </c>
      <c r="E351" s="2">
        <v>5389.65</v>
      </c>
      <c r="F351" s="3">
        <v>5500</v>
      </c>
      <c r="G351" s="3">
        <v>-110.35000000000036</v>
      </c>
      <c r="H351" s="4">
        <v>-2.0063636363636402E-2</v>
      </c>
      <c r="I351" t="s">
        <v>54</v>
      </c>
    </row>
    <row r="352" spans="1:9" x14ac:dyDescent="0.3">
      <c r="A352" s="1">
        <v>45992</v>
      </c>
      <c r="B352" t="s">
        <v>20</v>
      </c>
      <c r="C352" t="s">
        <v>21</v>
      </c>
      <c r="D352" t="s">
        <v>22</v>
      </c>
      <c r="E352" s="2">
        <v>47165.17</v>
      </c>
      <c r="F352" s="3">
        <v>48000</v>
      </c>
      <c r="G352" s="3">
        <v>-834.83000000000175</v>
      </c>
      <c r="H352" s="4">
        <v>-1.7392291666666702E-2</v>
      </c>
      <c r="I352" t="s">
        <v>54</v>
      </c>
    </row>
    <row r="353" spans="1:9" x14ac:dyDescent="0.3">
      <c r="A353" s="1">
        <v>45992</v>
      </c>
      <c r="B353" t="s">
        <v>20</v>
      </c>
      <c r="C353" t="s">
        <v>23</v>
      </c>
      <c r="D353" t="s">
        <v>7</v>
      </c>
      <c r="E353" s="2">
        <v>65094.16</v>
      </c>
      <c r="F353" s="3">
        <v>65000</v>
      </c>
      <c r="G353" s="3">
        <v>94.160000000003492</v>
      </c>
      <c r="H353" s="4">
        <v>1.4486153846154401E-3</v>
      </c>
      <c r="I353" t="s">
        <v>53</v>
      </c>
    </row>
    <row r="354" spans="1:9" x14ac:dyDescent="0.3">
      <c r="A354" s="1">
        <v>45992</v>
      </c>
      <c r="B354" t="s">
        <v>20</v>
      </c>
      <c r="C354" t="s">
        <v>24</v>
      </c>
      <c r="D354" t="s">
        <v>22</v>
      </c>
      <c r="E354" s="2">
        <v>35614.93</v>
      </c>
      <c r="F354" s="3">
        <v>35000</v>
      </c>
      <c r="G354" s="3">
        <v>614.93000000000029</v>
      </c>
      <c r="H354" s="4">
        <v>1.75694285714286E-2</v>
      </c>
      <c r="I354" t="s">
        <v>53</v>
      </c>
    </row>
    <row r="355" spans="1:9" x14ac:dyDescent="0.3">
      <c r="A355" s="1">
        <v>45992</v>
      </c>
      <c r="B355" t="s">
        <v>20</v>
      </c>
      <c r="C355" t="s">
        <v>25</v>
      </c>
      <c r="D355" t="s">
        <v>7</v>
      </c>
      <c r="E355" s="2">
        <v>27949.15</v>
      </c>
      <c r="F355" s="3">
        <v>21000</v>
      </c>
      <c r="G355" s="3">
        <v>6949.1500000000015</v>
      </c>
      <c r="H355" s="4">
        <v>0.33091190476190502</v>
      </c>
      <c r="I355" t="s">
        <v>53</v>
      </c>
    </row>
    <row r="356" spans="1:9" x14ac:dyDescent="0.3">
      <c r="A356" s="1">
        <v>45992</v>
      </c>
      <c r="B356" t="s">
        <v>20</v>
      </c>
      <c r="C356" t="s">
        <v>26</v>
      </c>
      <c r="D356" t="s">
        <v>22</v>
      </c>
      <c r="E356" s="2">
        <v>8899.84</v>
      </c>
      <c r="F356" s="3">
        <v>8500</v>
      </c>
      <c r="G356" s="3">
        <v>399.84000000000015</v>
      </c>
      <c r="H356" s="4">
        <v>4.7039999999999998E-2</v>
      </c>
      <c r="I356" t="s">
        <v>53</v>
      </c>
    </row>
    <row r="357" spans="1:9" x14ac:dyDescent="0.3">
      <c r="A357" s="1">
        <v>45992</v>
      </c>
      <c r="B357" t="s">
        <v>20</v>
      </c>
      <c r="C357" t="s">
        <v>27</v>
      </c>
      <c r="D357" t="s">
        <v>22</v>
      </c>
      <c r="E357" s="2">
        <v>2614.2800000000002</v>
      </c>
      <c r="F357" s="3">
        <v>10000</v>
      </c>
      <c r="G357" s="3">
        <v>-7385.7199999999993</v>
      </c>
      <c r="H357" s="4">
        <v>-0.73857200000000001</v>
      </c>
      <c r="I357" t="s">
        <v>54</v>
      </c>
    </row>
    <row r="358" spans="1:9" x14ac:dyDescent="0.3">
      <c r="A358" s="1">
        <v>45992</v>
      </c>
      <c r="B358" t="s">
        <v>20</v>
      </c>
      <c r="C358" t="s">
        <v>28</v>
      </c>
      <c r="D358" t="s">
        <v>7</v>
      </c>
      <c r="E358" s="2">
        <v>4916.28</v>
      </c>
      <c r="F358" s="3">
        <v>4500</v>
      </c>
      <c r="G358" s="3">
        <v>416.27999999999975</v>
      </c>
      <c r="H358" s="4">
        <v>9.2506666666666598E-2</v>
      </c>
      <c r="I358" t="s">
        <v>53</v>
      </c>
    </row>
    <row r="359" spans="1:9" x14ac:dyDescent="0.3">
      <c r="A359" s="1">
        <v>45992</v>
      </c>
      <c r="B359" t="s">
        <v>29</v>
      </c>
      <c r="C359" t="s">
        <v>30</v>
      </c>
      <c r="D359" t="s">
        <v>31</v>
      </c>
      <c r="E359" s="2">
        <v>94108.77</v>
      </c>
      <c r="F359" s="3">
        <v>105000</v>
      </c>
      <c r="G359" s="3">
        <v>-10891.229999999996</v>
      </c>
      <c r="H359" s="4">
        <v>-0.103726</v>
      </c>
      <c r="I359" t="s">
        <v>54</v>
      </c>
    </row>
    <row r="360" spans="1:9" x14ac:dyDescent="0.3">
      <c r="A360" s="1">
        <v>45992</v>
      </c>
      <c r="B360" t="s">
        <v>29</v>
      </c>
      <c r="C360" t="s">
        <v>32</v>
      </c>
      <c r="D360" t="s">
        <v>33</v>
      </c>
      <c r="E360" s="2">
        <v>39373.440000000002</v>
      </c>
      <c r="F360" s="3">
        <v>40000</v>
      </c>
      <c r="G360" s="3">
        <v>-626.55999999999767</v>
      </c>
      <c r="H360" s="4">
        <v>-1.56639999999999E-2</v>
      </c>
      <c r="I360" t="s">
        <v>54</v>
      </c>
    </row>
    <row r="361" spans="1:9" x14ac:dyDescent="0.3">
      <c r="A361" s="1">
        <v>45992</v>
      </c>
      <c r="B361" t="s">
        <v>29</v>
      </c>
      <c r="C361" t="s">
        <v>34</v>
      </c>
      <c r="D361" t="s">
        <v>31</v>
      </c>
      <c r="E361" s="2">
        <v>11842.95</v>
      </c>
      <c r="F361" s="3">
        <v>12000</v>
      </c>
      <c r="G361" s="3">
        <v>-157.04999999999927</v>
      </c>
      <c r="H361" s="4">
        <v>-1.30874999999999E-2</v>
      </c>
      <c r="I361" t="s">
        <v>54</v>
      </c>
    </row>
    <row r="362" spans="1:9" x14ac:dyDescent="0.3">
      <c r="A362" s="1">
        <v>45992</v>
      </c>
      <c r="B362" t="s">
        <v>29</v>
      </c>
      <c r="C362" t="s">
        <v>35</v>
      </c>
      <c r="D362" t="s">
        <v>31</v>
      </c>
      <c r="E362" s="2">
        <v>8548.51</v>
      </c>
      <c r="F362" s="3">
        <v>8500</v>
      </c>
      <c r="G362" s="3">
        <v>48.510000000000218</v>
      </c>
      <c r="H362" s="4">
        <v>5.7070588235294401E-3</v>
      </c>
      <c r="I362" t="s">
        <v>53</v>
      </c>
    </row>
    <row r="363" spans="1:9" x14ac:dyDescent="0.3">
      <c r="A363" s="1">
        <v>45992</v>
      </c>
      <c r="B363" t="s">
        <v>29</v>
      </c>
      <c r="C363" t="s">
        <v>36</v>
      </c>
      <c r="D363" t="s">
        <v>31</v>
      </c>
      <c r="E363" s="2">
        <v>6257.78</v>
      </c>
      <c r="F363" s="3">
        <v>6500</v>
      </c>
      <c r="G363" s="3">
        <v>-242.22000000000025</v>
      </c>
      <c r="H363" s="4">
        <v>-3.7264615384615403E-2</v>
      </c>
      <c r="I363" t="s">
        <v>54</v>
      </c>
    </row>
    <row r="364" spans="1:9" x14ac:dyDescent="0.3">
      <c r="A364" s="1">
        <v>45992</v>
      </c>
      <c r="B364" t="s">
        <v>37</v>
      </c>
      <c r="C364" t="s">
        <v>38</v>
      </c>
      <c r="D364" t="s">
        <v>39</v>
      </c>
      <c r="E364" s="2">
        <v>55116.83</v>
      </c>
      <c r="F364" s="3">
        <v>55000</v>
      </c>
      <c r="G364" s="3">
        <v>116.83000000000175</v>
      </c>
      <c r="H364" s="4">
        <v>2.1241818181818501E-3</v>
      </c>
      <c r="I364" t="s">
        <v>53</v>
      </c>
    </row>
    <row r="365" spans="1:9" x14ac:dyDescent="0.3">
      <c r="A365" s="1">
        <v>45992</v>
      </c>
      <c r="B365" t="s">
        <v>37</v>
      </c>
      <c r="C365" t="s">
        <v>40</v>
      </c>
      <c r="D365" t="s">
        <v>18</v>
      </c>
      <c r="E365" s="2">
        <v>25011.42</v>
      </c>
      <c r="F365" s="3">
        <v>25000</v>
      </c>
      <c r="G365" s="3">
        <v>11.419999999998254</v>
      </c>
      <c r="H365" s="4">
        <v>4.5679999999993001E-4</v>
      </c>
      <c r="I365" t="s">
        <v>53</v>
      </c>
    </row>
    <row r="366" spans="1:9" x14ac:dyDescent="0.3">
      <c r="A366" s="1">
        <v>45992</v>
      </c>
      <c r="B366" t="s">
        <v>37</v>
      </c>
      <c r="C366" t="s">
        <v>41</v>
      </c>
      <c r="D366" t="s">
        <v>15</v>
      </c>
      <c r="E366" s="2">
        <v>29862.23</v>
      </c>
      <c r="F366" s="3">
        <v>30000</v>
      </c>
      <c r="G366" s="3">
        <v>-137.77000000000044</v>
      </c>
      <c r="H366" s="4">
        <v>-4.5923333333333502E-3</v>
      </c>
      <c r="I366" t="s">
        <v>54</v>
      </c>
    </row>
    <row r="367" spans="1:9" x14ac:dyDescent="0.3">
      <c r="A367" s="1">
        <v>45992</v>
      </c>
      <c r="B367" t="s">
        <v>37</v>
      </c>
      <c r="C367" t="s">
        <v>42</v>
      </c>
      <c r="D367" t="s">
        <v>15</v>
      </c>
      <c r="E367" s="2">
        <v>18055.14</v>
      </c>
      <c r="F367" s="3">
        <v>18000</v>
      </c>
      <c r="G367" s="3">
        <v>55.139999999999418</v>
      </c>
      <c r="H367" s="4">
        <v>3.0633333333332999E-3</v>
      </c>
      <c r="I367" t="s">
        <v>53</v>
      </c>
    </row>
    <row r="368" spans="1:9" x14ac:dyDescent="0.3">
      <c r="A368" s="1">
        <v>45992</v>
      </c>
      <c r="B368" t="s">
        <v>37</v>
      </c>
      <c r="C368" t="s">
        <v>43</v>
      </c>
      <c r="D368" t="s">
        <v>18</v>
      </c>
      <c r="E368" s="2">
        <v>8346.25</v>
      </c>
      <c r="F368" s="3">
        <v>8500</v>
      </c>
      <c r="G368" s="3">
        <v>-153.75</v>
      </c>
      <c r="H368" s="4">
        <v>-1.8088235294117599E-2</v>
      </c>
      <c r="I368" t="s">
        <v>54</v>
      </c>
    </row>
    <row r="369" spans="1:9" x14ac:dyDescent="0.3">
      <c r="A369" s="1">
        <v>45992</v>
      </c>
      <c r="B369" t="s">
        <v>37</v>
      </c>
      <c r="C369" t="s">
        <v>44</v>
      </c>
      <c r="D369" t="s">
        <v>18</v>
      </c>
      <c r="E369" s="2">
        <v>7656.59</v>
      </c>
      <c r="F369" s="3">
        <v>7500</v>
      </c>
      <c r="G369" s="3">
        <v>156.59000000000015</v>
      </c>
      <c r="H369" s="4">
        <v>2.0878666666666702E-2</v>
      </c>
      <c r="I369" t="s">
        <v>53</v>
      </c>
    </row>
    <row r="370" spans="1:9" x14ac:dyDescent="0.3">
      <c r="A370" s="1">
        <v>45992</v>
      </c>
      <c r="B370" t="s">
        <v>37</v>
      </c>
      <c r="C370" t="s">
        <v>45</v>
      </c>
      <c r="D370" t="s">
        <v>15</v>
      </c>
      <c r="E370" s="2">
        <v>9356.51</v>
      </c>
      <c r="F370" s="3">
        <v>12000</v>
      </c>
      <c r="G370" s="3">
        <v>-2643.49</v>
      </c>
      <c r="H370" s="4">
        <v>-0.22029083333333299</v>
      </c>
      <c r="I370" t="s">
        <v>54</v>
      </c>
    </row>
    <row r="371" spans="1:9" x14ac:dyDescent="0.3">
      <c r="A371" s="1">
        <v>45992</v>
      </c>
      <c r="B371" t="s">
        <v>37</v>
      </c>
      <c r="C371" t="s">
        <v>46</v>
      </c>
      <c r="D371" t="s">
        <v>18</v>
      </c>
      <c r="E371" s="2">
        <v>4576.6000000000004</v>
      </c>
      <c r="F371" s="3">
        <v>4500</v>
      </c>
      <c r="G371" s="3">
        <v>76.600000000000364</v>
      </c>
      <c r="H371" s="4">
        <v>1.70222222222223E-2</v>
      </c>
      <c r="I371" t="s">
        <v>53</v>
      </c>
    </row>
    <row r="372" spans="1:9" x14ac:dyDescent="0.3">
      <c r="A372" s="1">
        <v>45992</v>
      </c>
      <c r="B372" t="s">
        <v>37</v>
      </c>
      <c r="C372" t="s">
        <v>47</v>
      </c>
      <c r="D372" t="s">
        <v>15</v>
      </c>
      <c r="E372" s="2">
        <v>6092.28</v>
      </c>
      <c r="F372" s="3">
        <v>6000</v>
      </c>
      <c r="G372" s="3">
        <v>92.279999999999745</v>
      </c>
      <c r="H372" s="4">
        <v>1.538E-2</v>
      </c>
      <c r="I372" t="s">
        <v>53</v>
      </c>
    </row>
    <row r="373" spans="1:9" x14ac:dyDescent="0.3">
      <c r="A373" s="1">
        <v>45992</v>
      </c>
      <c r="B373" t="s">
        <v>37</v>
      </c>
      <c r="C373" t="s">
        <v>48</v>
      </c>
      <c r="D373" t="s">
        <v>15</v>
      </c>
      <c r="E373" s="2">
        <v>2719.43</v>
      </c>
      <c r="F373" s="3">
        <v>2500</v>
      </c>
      <c r="G373" s="3">
        <v>219.42999999999984</v>
      </c>
      <c r="H373" s="4">
        <v>8.7771999999999906E-2</v>
      </c>
      <c r="I373" t="s">
        <v>53</v>
      </c>
    </row>
  </sheetData>
  <sheetProtection sheet="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9979-57FC-43B8-A6AE-40B6C69CFD55}">
  <dimension ref="A1:E373"/>
  <sheetViews>
    <sheetView workbookViewId="0">
      <selection activeCell="C215" sqref="C215"/>
    </sheetView>
  </sheetViews>
  <sheetFormatPr defaultRowHeight="14.4" x14ac:dyDescent="0.3"/>
  <cols>
    <col min="1" max="1" width="10.33203125" bestFit="1" customWidth="1"/>
    <col min="2" max="2" width="21.88671875" bestFit="1" customWidth="1"/>
    <col min="3" max="3" width="30.44140625" bestFit="1" customWidth="1"/>
    <col min="4" max="4" width="15.6640625" bestFit="1" customWidth="1"/>
    <col min="5" max="5" width="16.5546875" bestFit="1" customWidth="1"/>
    <col min="6" max="6" width="21.33203125" bestFit="1" customWidth="1"/>
    <col min="7" max="7" width="16.5546875" bestFit="1" customWidth="1"/>
    <col min="8" max="8" width="15.6640625" bestFit="1" customWidth="1"/>
    <col min="9" max="9" width="16.5546875" bestFit="1" customWidth="1"/>
  </cols>
  <sheetData>
    <row r="1" spans="1:5" x14ac:dyDescent="0.3">
      <c r="A1" t="s">
        <v>0</v>
      </c>
      <c r="B1" t="s">
        <v>1</v>
      </c>
      <c r="C1" t="s">
        <v>2</v>
      </c>
      <c r="D1" t="s">
        <v>3</v>
      </c>
      <c r="E1" t="s">
        <v>4</v>
      </c>
    </row>
    <row r="2" spans="1:5" x14ac:dyDescent="0.3">
      <c r="A2" s="1">
        <v>45658</v>
      </c>
      <c r="B2" t="s">
        <v>5</v>
      </c>
      <c r="C2" t="s">
        <v>6</v>
      </c>
      <c r="D2" t="s">
        <v>7</v>
      </c>
      <c r="E2">
        <v>41977.23</v>
      </c>
    </row>
    <row r="3" spans="1:5" x14ac:dyDescent="0.3">
      <c r="A3" s="1">
        <v>45658</v>
      </c>
      <c r="B3" t="s">
        <v>5</v>
      </c>
      <c r="C3" t="s">
        <v>8</v>
      </c>
      <c r="D3" t="s">
        <v>7</v>
      </c>
      <c r="E3">
        <v>74485.58</v>
      </c>
    </row>
    <row r="4" spans="1:5" x14ac:dyDescent="0.3">
      <c r="A4" s="1">
        <v>45658</v>
      </c>
      <c r="B4" t="s">
        <v>5</v>
      </c>
      <c r="C4" t="s">
        <v>9</v>
      </c>
      <c r="D4" t="s">
        <v>7</v>
      </c>
      <c r="E4">
        <v>107916.32</v>
      </c>
    </row>
    <row r="5" spans="1:5" x14ac:dyDescent="0.3">
      <c r="A5" s="1">
        <v>45658</v>
      </c>
      <c r="B5" t="s">
        <v>5</v>
      </c>
      <c r="C5" t="s">
        <v>10</v>
      </c>
      <c r="D5" t="s">
        <v>11</v>
      </c>
      <c r="E5">
        <v>22232.11</v>
      </c>
    </row>
    <row r="6" spans="1:5" x14ac:dyDescent="0.3">
      <c r="A6" s="1">
        <v>45658</v>
      </c>
      <c r="B6" t="s">
        <v>5</v>
      </c>
      <c r="C6" t="s">
        <v>12</v>
      </c>
      <c r="D6" t="s">
        <v>11</v>
      </c>
      <c r="E6">
        <v>9135.06</v>
      </c>
    </row>
    <row r="7" spans="1:5" x14ac:dyDescent="0.3">
      <c r="A7" s="1">
        <v>45658</v>
      </c>
      <c r="B7" t="s">
        <v>13</v>
      </c>
      <c r="C7" t="s">
        <v>14</v>
      </c>
      <c r="D7" t="s">
        <v>15</v>
      </c>
      <c r="E7">
        <v>32812.5</v>
      </c>
    </row>
    <row r="8" spans="1:5" x14ac:dyDescent="0.3">
      <c r="A8" s="1">
        <v>45658</v>
      </c>
      <c r="B8" t="s">
        <v>13</v>
      </c>
      <c r="C8" t="s">
        <v>16</v>
      </c>
      <c r="D8" t="s">
        <v>11</v>
      </c>
      <c r="E8">
        <v>28439.24</v>
      </c>
    </row>
    <row r="9" spans="1:5" x14ac:dyDescent="0.3">
      <c r="A9" s="1">
        <v>45658</v>
      </c>
      <c r="B9" t="s">
        <v>13</v>
      </c>
      <c r="C9" t="s">
        <v>17</v>
      </c>
      <c r="D9" t="s">
        <v>18</v>
      </c>
      <c r="E9">
        <v>7110.29</v>
      </c>
    </row>
    <row r="10" spans="1:5" x14ac:dyDescent="0.3">
      <c r="A10" s="1">
        <v>45658</v>
      </c>
      <c r="B10" t="s">
        <v>13</v>
      </c>
      <c r="C10" t="s">
        <v>19</v>
      </c>
      <c r="D10" t="s">
        <v>15</v>
      </c>
      <c r="E10">
        <v>5414.11</v>
      </c>
    </row>
    <row r="11" spans="1:5" x14ac:dyDescent="0.3">
      <c r="A11" s="1">
        <v>45658</v>
      </c>
      <c r="B11" t="s">
        <v>20</v>
      </c>
      <c r="C11" t="s">
        <v>21</v>
      </c>
      <c r="D11" t="s">
        <v>22</v>
      </c>
      <c r="E11">
        <v>42884.09</v>
      </c>
    </row>
    <row r="12" spans="1:5" x14ac:dyDescent="0.3">
      <c r="A12" s="1">
        <v>45658</v>
      </c>
      <c r="B12" t="s">
        <v>20</v>
      </c>
      <c r="C12" t="s">
        <v>23</v>
      </c>
      <c r="D12" t="s">
        <v>7</v>
      </c>
      <c r="E12">
        <v>64268.46</v>
      </c>
    </row>
    <row r="13" spans="1:5" x14ac:dyDescent="0.3">
      <c r="A13" s="1">
        <v>45658</v>
      </c>
      <c r="B13" t="s">
        <v>20</v>
      </c>
      <c r="C13" t="s">
        <v>24</v>
      </c>
      <c r="D13" t="s">
        <v>22</v>
      </c>
      <c r="E13">
        <v>35007.5</v>
      </c>
    </row>
    <row r="14" spans="1:5" x14ac:dyDescent="0.3">
      <c r="A14" s="1">
        <v>45658</v>
      </c>
      <c r="B14" t="s">
        <v>20</v>
      </c>
      <c r="C14" t="s">
        <v>25</v>
      </c>
      <c r="D14" t="s">
        <v>7</v>
      </c>
      <c r="E14">
        <v>18522.32</v>
      </c>
    </row>
    <row r="15" spans="1:5" x14ac:dyDescent="0.3">
      <c r="A15" s="1">
        <v>45658</v>
      </c>
      <c r="B15" t="s">
        <v>20</v>
      </c>
      <c r="C15" t="s">
        <v>26</v>
      </c>
      <c r="D15" t="s">
        <v>22</v>
      </c>
      <c r="E15">
        <v>8244.01</v>
      </c>
    </row>
    <row r="16" spans="1:5" x14ac:dyDescent="0.3">
      <c r="A16" s="1">
        <v>45658</v>
      </c>
      <c r="B16" t="s">
        <v>20</v>
      </c>
      <c r="C16" t="s">
        <v>27</v>
      </c>
      <c r="D16" t="s">
        <v>22</v>
      </c>
      <c r="E16">
        <v>3179.86</v>
      </c>
    </row>
    <row r="17" spans="1:5" x14ac:dyDescent="0.3">
      <c r="A17" s="1">
        <v>45658</v>
      </c>
      <c r="B17" t="s">
        <v>20</v>
      </c>
      <c r="C17" t="s">
        <v>28</v>
      </c>
      <c r="D17" t="s">
        <v>7</v>
      </c>
      <c r="E17">
        <v>4540.45</v>
      </c>
    </row>
    <row r="18" spans="1:5" x14ac:dyDescent="0.3">
      <c r="A18" s="1">
        <v>45658</v>
      </c>
      <c r="B18" t="s">
        <v>29</v>
      </c>
      <c r="C18" t="s">
        <v>30</v>
      </c>
      <c r="D18" t="s">
        <v>31</v>
      </c>
      <c r="E18">
        <v>93937.67</v>
      </c>
    </row>
    <row r="19" spans="1:5" x14ac:dyDescent="0.3">
      <c r="A19" s="1">
        <v>45658</v>
      </c>
      <c r="B19" t="s">
        <v>29</v>
      </c>
      <c r="C19" t="s">
        <v>32</v>
      </c>
      <c r="D19" t="s">
        <v>33</v>
      </c>
      <c r="E19">
        <v>40142.83</v>
      </c>
    </row>
    <row r="20" spans="1:5" x14ac:dyDescent="0.3">
      <c r="A20" s="1">
        <v>45658</v>
      </c>
      <c r="B20" t="s">
        <v>29</v>
      </c>
      <c r="C20" t="s">
        <v>34</v>
      </c>
      <c r="D20" t="s">
        <v>31</v>
      </c>
      <c r="E20">
        <v>12742.63</v>
      </c>
    </row>
    <row r="21" spans="1:5" x14ac:dyDescent="0.3">
      <c r="A21" s="1">
        <v>45658</v>
      </c>
      <c r="B21" t="s">
        <v>29</v>
      </c>
      <c r="C21" t="s">
        <v>35</v>
      </c>
      <c r="D21" t="s">
        <v>31</v>
      </c>
      <c r="E21">
        <v>6815.6</v>
      </c>
    </row>
    <row r="22" spans="1:5" x14ac:dyDescent="0.3">
      <c r="A22" s="1">
        <v>45658</v>
      </c>
      <c r="B22" t="s">
        <v>29</v>
      </c>
      <c r="C22" t="s">
        <v>36</v>
      </c>
      <c r="D22" t="s">
        <v>31</v>
      </c>
      <c r="E22">
        <v>6897.57</v>
      </c>
    </row>
    <row r="23" spans="1:5" x14ac:dyDescent="0.3">
      <c r="A23" s="1">
        <v>45658</v>
      </c>
      <c r="B23" t="s">
        <v>37</v>
      </c>
      <c r="C23" t="s">
        <v>38</v>
      </c>
      <c r="D23" t="s">
        <v>39</v>
      </c>
      <c r="E23">
        <v>55217.95</v>
      </c>
    </row>
    <row r="24" spans="1:5" x14ac:dyDescent="0.3">
      <c r="A24" s="1">
        <v>45658</v>
      </c>
      <c r="B24" t="s">
        <v>37</v>
      </c>
      <c r="C24" t="s">
        <v>40</v>
      </c>
      <c r="D24" t="s">
        <v>18</v>
      </c>
      <c r="E24">
        <v>24840.25</v>
      </c>
    </row>
    <row r="25" spans="1:5" x14ac:dyDescent="0.3">
      <c r="A25" s="1">
        <v>45658</v>
      </c>
      <c r="B25" t="s">
        <v>37</v>
      </c>
      <c r="C25" t="s">
        <v>41</v>
      </c>
      <c r="D25" t="s">
        <v>15</v>
      </c>
      <c r="E25">
        <v>29586.58</v>
      </c>
    </row>
    <row r="26" spans="1:5" x14ac:dyDescent="0.3">
      <c r="A26" s="1">
        <v>45658</v>
      </c>
      <c r="B26" t="s">
        <v>37</v>
      </c>
      <c r="C26" t="s">
        <v>42</v>
      </c>
      <c r="D26" t="s">
        <v>15</v>
      </c>
      <c r="E26">
        <v>18329.189999999999</v>
      </c>
    </row>
    <row r="27" spans="1:5" x14ac:dyDescent="0.3">
      <c r="A27" s="1">
        <v>45658</v>
      </c>
      <c r="B27" t="s">
        <v>37</v>
      </c>
      <c r="C27" t="s">
        <v>43</v>
      </c>
      <c r="D27" t="s">
        <v>18</v>
      </c>
      <c r="E27">
        <v>8714.68</v>
      </c>
    </row>
    <row r="28" spans="1:5" x14ac:dyDescent="0.3">
      <c r="A28" s="1">
        <v>45658</v>
      </c>
      <c r="B28" t="s">
        <v>37</v>
      </c>
      <c r="C28" t="s">
        <v>44</v>
      </c>
      <c r="D28" t="s">
        <v>18</v>
      </c>
      <c r="E28">
        <v>7194.56</v>
      </c>
    </row>
    <row r="29" spans="1:5" x14ac:dyDescent="0.3">
      <c r="A29" s="1">
        <v>45658</v>
      </c>
      <c r="B29" t="s">
        <v>37</v>
      </c>
      <c r="C29" t="s">
        <v>45</v>
      </c>
      <c r="D29" t="s">
        <v>15</v>
      </c>
      <c r="E29">
        <v>9722.36</v>
      </c>
    </row>
    <row r="30" spans="1:5" x14ac:dyDescent="0.3">
      <c r="A30" s="1">
        <v>45658</v>
      </c>
      <c r="B30" t="s">
        <v>37</v>
      </c>
      <c r="C30" t="s">
        <v>46</v>
      </c>
      <c r="D30" t="s">
        <v>18</v>
      </c>
      <c r="E30">
        <v>4562.55</v>
      </c>
    </row>
    <row r="31" spans="1:5" x14ac:dyDescent="0.3">
      <c r="A31" s="1">
        <v>45658</v>
      </c>
      <c r="B31" t="s">
        <v>37</v>
      </c>
      <c r="C31" t="s">
        <v>47</v>
      </c>
      <c r="D31" t="s">
        <v>15</v>
      </c>
      <c r="E31">
        <v>6248.94</v>
      </c>
    </row>
    <row r="32" spans="1:5" x14ac:dyDescent="0.3">
      <c r="A32" s="1">
        <v>45658</v>
      </c>
      <c r="B32" t="s">
        <v>37</v>
      </c>
      <c r="C32" t="s">
        <v>48</v>
      </c>
      <c r="D32" t="s">
        <v>15</v>
      </c>
      <c r="E32">
        <v>2807.13</v>
      </c>
    </row>
    <row r="33" spans="1:5" x14ac:dyDescent="0.3">
      <c r="A33" s="1">
        <v>45689</v>
      </c>
      <c r="B33" t="s">
        <v>5</v>
      </c>
      <c r="C33" t="s">
        <v>6</v>
      </c>
      <c r="D33" t="s">
        <v>7</v>
      </c>
      <c r="E33">
        <v>43198.11</v>
      </c>
    </row>
    <row r="34" spans="1:5" x14ac:dyDescent="0.3">
      <c r="A34" s="1">
        <v>45689</v>
      </c>
      <c r="B34" t="s">
        <v>5</v>
      </c>
      <c r="C34" t="s">
        <v>8</v>
      </c>
      <c r="D34" t="s">
        <v>7</v>
      </c>
      <c r="E34">
        <v>80052.97</v>
      </c>
    </row>
    <row r="35" spans="1:5" x14ac:dyDescent="0.3">
      <c r="A35" s="1">
        <v>45689</v>
      </c>
      <c r="B35" t="s">
        <v>5</v>
      </c>
      <c r="C35" t="s">
        <v>9</v>
      </c>
      <c r="D35" t="s">
        <v>7</v>
      </c>
      <c r="E35">
        <v>117935.66</v>
      </c>
    </row>
    <row r="36" spans="1:5" x14ac:dyDescent="0.3">
      <c r="A36" s="1">
        <v>45689</v>
      </c>
      <c r="B36" t="s">
        <v>5</v>
      </c>
      <c r="C36" t="s">
        <v>10</v>
      </c>
      <c r="D36" t="s">
        <v>11</v>
      </c>
      <c r="E36">
        <v>24261.05</v>
      </c>
    </row>
    <row r="37" spans="1:5" x14ac:dyDescent="0.3">
      <c r="A37" s="1">
        <v>45689</v>
      </c>
      <c r="B37" t="s">
        <v>5</v>
      </c>
      <c r="C37" t="s">
        <v>12</v>
      </c>
      <c r="D37" t="s">
        <v>11</v>
      </c>
      <c r="E37">
        <v>8414.7900000000009</v>
      </c>
    </row>
    <row r="38" spans="1:5" x14ac:dyDescent="0.3">
      <c r="A38" s="1">
        <v>45689</v>
      </c>
      <c r="B38" t="s">
        <v>13</v>
      </c>
      <c r="C38" t="s">
        <v>14</v>
      </c>
      <c r="D38" t="s">
        <v>15</v>
      </c>
      <c r="E38">
        <v>36391.449999999997</v>
      </c>
    </row>
    <row r="39" spans="1:5" x14ac:dyDescent="0.3">
      <c r="A39" s="1">
        <v>45689</v>
      </c>
      <c r="B39" t="s">
        <v>13</v>
      </c>
      <c r="C39" t="s">
        <v>16</v>
      </c>
      <c r="D39" t="s">
        <v>11</v>
      </c>
      <c r="E39">
        <v>28132.74</v>
      </c>
    </row>
    <row r="40" spans="1:5" x14ac:dyDescent="0.3">
      <c r="A40" s="1">
        <v>45689</v>
      </c>
      <c r="B40" t="s">
        <v>13</v>
      </c>
      <c r="C40" t="s">
        <v>17</v>
      </c>
      <c r="D40" t="s">
        <v>18</v>
      </c>
      <c r="E40">
        <v>8229.2800000000007</v>
      </c>
    </row>
    <row r="41" spans="1:5" x14ac:dyDescent="0.3">
      <c r="A41" s="1">
        <v>45689</v>
      </c>
      <c r="B41" t="s">
        <v>13</v>
      </c>
      <c r="C41" t="s">
        <v>19</v>
      </c>
      <c r="D41" t="s">
        <v>15</v>
      </c>
      <c r="E41">
        <v>5585.09</v>
      </c>
    </row>
    <row r="42" spans="1:5" x14ac:dyDescent="0.3">
      <c r="A42" s="1">
        <v>45689</v>
      </c>
      <c r="B42" t="s">
        <v>20</v>
      </c>
      <c r="C42" t="s">
        <v>21</v>
      </c>
      <c r="D42" t="s">
        <v>22</v>
      </c>
      <c r="E42">
        <v>45920.57</v>
      </c>
    </row>
    <row r="43" spans="1:5" x14ac:dyDescent="0.3">
      <c r="A43" s="1">
        <v>45689</v>
      </c>
      <c r="B43" t="s">
        <v>20</v>
      </c>
      <c r="C43" t="s">
        <v>23</v>
      </c>
      <c r="D43" t="s">
        <v>7</v>
      </c>
      <c r="E43">
        <v>63819.14</v>
      </c>
    </row>
    <row r="44" spans="1:5" x14ac:dyDescent="0.3">
      <c r="A44" s="1">
        <v>45689</v>
      </c>
      <c r="B44" t="s">
        <v>20</v>
      </c>
      <c r="C44" t="s">
        <v>24</v>
      </c>
      <c r="D44" t="s">
        <v>22</v>
      </c>
      <c r="E44">
        <v>34619.06</v>
      </c>
    </row>
    <row r="45" spans="1:5" x14ac:dyDescent="0.3">
      <c r="A45" s="1">
        <v>45689</v>
      </c>
      <c r="B45" t="s">
        <v>20</v>
      </c>
      <c r="C45" t="s">
        <v>25</v>
      </c>
      <c r="D45" t="s">
        <v>7</v>
      </c>
      <c r="E45">
        <v>20986.15</v>
      </c>
    </row>
    <row r="46" spans="1:5" x14ac:dyDescent="0.3">
      <c r="A46" s="1">
        <v>45689</v>
      </c>
      <c r="B46" t="s">
        <v>20</v>
      </c>
      <c r="C46" t="s">
        <v>26</v>
      </c>
      <c r="D46" t="s">
        <v>22</v>
      </c>
      <c r="E46">
        <v>8142.82</v>
      </c>
    </row>
    <row r="47" spans="1:5" x14ac:dyDescent="0.3">
      <c r="A47" s="1">
        <v>45689</v>
      </c>
      <c r="B47" t="s">
        <v>20</v>
      </c>
      <c r="C47" t="s">
        <v>27</v>
      </c>
      <c r="D47" t="s">
        <v>22</v>
      </c>
      <c r="E47">
        <v>2679.35</v>
      </c>
    </row>
    <row r="48" spans="1:5" x14ac:dyDescent="0.3">
      <c r="A48" s="1">
        <v>45689</v>
      </c>
      <c r="B48" t="s">
        <v>20</v>
      </c>
      <c r="C48" t="s">
        <v>28</v>
      </c>
      <c r="D48" t="s">
        <v>7</v>
      </c>
      <c r="E48">
        <v>4140.8999999999996</v>
      </c>
    </row>
    <row r="49" spans="1:5" x14ac:dyDescent="0.3">
      <c r="A49" s="1">
        <v>45689</v>
      </c>
      <c r="B49" t="s">
        <v>29</v>
      </c>
      <c r="C49" t="s">
        <v>30</v>
      </c>
      <c r="D49" t="s">
        <v>31</v>
      </c>
      <c r="E49">
        <v>94156.3</v>
      </c>
    </row>
    <row r="50" spans="1:5" x14ac:dyDescent="0.3">
      <c r="A50" s="1">
        <v>45689</v>
      </c>
      <c r="B50" t="s">
        <v>29</v>
      </c>
      <c r="C50" t="s">
        <v>32</v>
      </c>
      <c r="D50" t="s">
        <v>33</v>
      </c>
      <c r="E50">
        <v>40217.1</v>
      </c>
    </row>
    <row r="51" spans="1:5" x14ac:dyDescent="0.3">
      <c r="A51" s="1">
        <v>45689</v>
      </c>
      <c r="B51" t="s">
        <v>29</v>
      </c>
      <c r="C51" t="s">
        <v>34</v>
      </c>
      <c r="D51" t="s">
        <v>31</v>
      </c>
      <c r="E51">
        <v>11675.6</v>
      </c>
    </row>
    <row r="52" spans="1:5" x14ac:dyDescent="0.3">
      <c r="A52" s="1">
        <v>45689</v>
      </c>
      <c r="B52" t="s">
        <v>29</v>
      </c>
      <c r="C52" t="s">
        <v>35</v>
      </c>
      <c r="D52" t="s">
        <v>31</v>
      </c>
      <c r="E52">
        <v>7688.43</v>
      </c>
    </row>
    <row r="53" spans="1:5" x14ac:dyDescent="0.3">
      <c r="A53" s="1">
        <v>45689</v>
      </c>
      <c r="B53" t="s">
        <v>29</v>
      </c>
      <c r="C53" t="s">
        <v>36</v>
      </c>
      <c r="D53" t="s">
        <v>31</v>
      </c>
      <c r="E53">
        <v>6122.36</v>
      </c>
    </row>
    <row r="54" spans="1:5" x14ac:dyDescent="0.3">
      <c r="A54" s="1">
        <v>45689</v>
      </c>
      <c r="B54" t="s">
        <v>37</v>
      </c>
      <c r="C54" t="s">
        <v>38</v>
      </c>
      <c r="D54" t="s">
        <v>39</v>
      </c>
      <c r="E54">
        <v>54743.68</v>
      </c>
    </row>
    <row r="55" spans="1:5" x14ac:dyDescent="0.3">
      <c r="A55" s="1">
        <v>45689</v>
      </c>
      <c r="B55" t="s">
        <v>37</v>
      </c>
      <c r="C55" t="s">
        <v>40</v>
      </c>
      <c r="D55" t="s">
        <v>18</v>
      </c>
      <c r="E55">
        <v>25436.65</v>
      </c>
    </row>
    <row r="56" spans="1:5" x14ac:dyDescent="0.3">
      <c r="A56" s="1">
        <v>45689</v>
      </c>
      <c r="B56" t="s">
        <v>37</v>
      </c>
      <c r="C56" t="s">
        <v>41</v>
      </c>
      <c r="D56" t="s">
        <v>15</v>
      </c>
      <c r="E56">
        <v>30177.64</v>
      </c>
    </row>
    <row r="57" spans="1:5" x14ac:dyDescent="0.3">
      <c r="A57" s="1">
        <v>45689</v>
      </c>
      <c r="B57" t="s">
        <v>37</v>
      </c>
      <c r="C57" t="s">
        <v>42</v>
      </c>
      <c r="D57" t="s">
        <v>15</v>
      </c>
      <c r="E57">
        <v>18078.57</v>
      </c>
    </row>
    <row r="58" spans="1:5" x14ac:dyDescent="0.3">
      <c r="A58" s="1">
        <v>45689</v>
      </c>
      <c r="B58" t="s">
        <v>37</v>
      </c>
      <c r="C58" t="s">
        <v>43</v>
      </c>
      <c r="D58" t="s">
        <v>18</v>
      </c>
      <c r="E58">
        <v>7970.12</v>
      </c>
    </row>
    <row r="59" spans="1:5" x14ac:dyDescent="0.3">
      <c r="A59" s="1">
        <v>45689</v>
      </c>
      <c r="B59" t="s">
        <v>37</v>
      </c>
      <c r="C59" t="s">
        <v>44</v>
      </c>
      <c r="D59" t="s">
        <v>18</v>
      </c>
      <c r="E59">
        <v>7671.85</v>
      </c>
    </row>
    <row r="60" spans="1:5" x14ac:dyDescent="0.3">
      <c r="A60" s="1">
        <v>45689</v>
      </c>
      <c r="B60" t="s">
        <v>37</v>
      </c>
      <c r="C60" t="s">
        <v>45</v>
      </c>
      <c r="D60" t="s">
        <v>15</v>
      </c>
      <c r="E60">
        <v>9979.1</v>
      </c>
    </row>
    <row r="61" spans="1:5" x14ac:dyDescent="0.3">
      <c r="A61" s="1">
        <v>45689</v>
      </c>
      <c r="B61" t="s">
        <v>37</v>
      </c>
      <c r="C61" t="s">
        <v>46</v>
      </c>
      <c r="D61" t="s">
        <v>18</v>
      </c>
      <c r="E61">
        <v>4478.3</v>
      </c>
    </row>
    <row r="62" spans="1:5" x14ac:dyDescent="0.3">
      <c r="A62" s="1">
        <v>45689</v>
      </c>
      <c r="B62" t="s">
        <v>37</v>
      </c>
      <c r="C62" t="s">
        <v>47</v>
      </c>
      <c r="D62" t="s">
        <v>15</v>
      </c>
      <c r="E62">
        <v>7174.86</v>
      </c>
    </row>
    <row r="63" spans="1:5" x14ac:dyDescent="0.3">
      <c r="A63" s="1">
        <v>45689</v>
      </c>
      <c r="B63" t="s">
        <v>37</v>
      </c>
      <c r="C63" t="s">
        <v>48</v>
      </c>
      <c r="D63" t="s">
        <v>15</v>
      </c>
      <c r="E63">
        <v>2640</v>
      </c>
    </row>
    <row r="64" spans="1:5" x14ac:dyDescent="0.3">
      <c r="A64" s="1">
        <v>45717</v>
      </c>
      <c r="B64" t="s">
        <v>5</v>
      </c>
      <c r="C64" t="s">
        <v>6</v>
      </c>
      <c r="D64" t="s">
        <v>7</v>
      </c>
      <c r="E64">
        <v>47066.52</v>
      </c>
    </row>
    <row r="65" spans="1:5" x14ac:dyDescent="0.3">
      <c r="A65" s="1">
        <v>45717</v>
      </c>
      <c r="B65" t="s">
        <v>5</v>
      </c>
      <c r="C65" t="s">
        <v>8</v>
      </c>
      <c r="D65" t="s">
        <v>7</v>
      </c>
      <c r="E65">
        <v>90031.99</v>
      </c>
    </row>
    <row r="66" spans="1:5" x14ac:dyDescent="0.3">
      <c r="A66" s="1">
        <v>45717</v>
      </c>
      <c r="B66" t="s">
        <v>5</v>
      </c>
      <c r="C66" t="s">
        <v>9</v>
      </c>
      <c r="D66" t="s">
        <v>7</v>
      </c>
      <c r="E66">
        <v>129078.79</v>
      </c>
    </row>
    <row r="67" spans="1:5" x14ac:dyDescent="0.3">
      <c r="A67" s="1">
        <v>45717</v>
      </c>
      <c r="B67" t="s">
        <v>5</v>
      </c>
      <c r="C67" t="s">
        <v>10</v>
      </c>
      <c r="D67" t="s">
        <v>11</v>
      </c>
      <c r="E67">
        <v>28870.400000000001</v>
      </c>
    </row>
    <row r="68" spans="1:5" x14ac:dyDescent="0.3">
      <c r="A68" s="1">
        <v>45717</v>
      </c>
      <c r="B68" t="s">
        <v>5</v>
      </c>
      <c r="C68" t="s">
        <v>12</v>
      </c>
      <c r="D68" t="s">
        <v>11</v>
      </c>
      <c r="E68">
        <v>6967.41</v>
      </c>
    </row>
    <row r="69" spans="1:5" x14ac:dyDescent="0.3">
      <c r="A69" s="1">
        <v>45717</v>
      </c>
      <c r="B69" t="s">
        <v>13</v>
      </c>
      <c r="C69" t="s">
        <v>14</v>
      </c>
      <c r="D69" t="s">
        <v>15</v>
      </c>
      <c r="E69">
        <v>32908.480000000003</v>
      </c>
    </row>
    <row r="70" spans="1:5" x14ac:dyDescent="0.3">
      <c r="A70" s="1">
        <v>45717</v>
      </c>
      <c r="B70" t="s">
        <v>13</v>
      </c>
      <c r="C70" t="s">
        <v>16</v>
      </c>
      <c r="D70" t="s">
        <v>11</v>
      </c>
      <c r="E70">
        <v>27793.31</v>
      </c>
    </row>
    <row r="71" spans="1:5" x14ac:dyDescent="0.3">
      <c r="A71" s="1">
        <v>45717</v>
      </c>
      <c r="B71" t="s">
        <v>13</v>
      </c>
      <c r="C71" t="s">
        <v>17</v>
      </c>
      <c r="D71" t="s">
        <v>18</v>
      </c>
      <c r="E71">
        <v>8555.02</v>
      </c>
    </row>
    <row r="72" spans="1:5" x14ac:dyDescent="0.3">
      <c r="A72" s="1">
        <v>45717</v>
      </c>
      <c r="B72" t="s">
        <v>13</v>
      </c>
      <c r="C72" t="s">
        <v>19</v>
      </c>
      <c r="D72" t="s">
        <v>15</v>
      </c>
      <c r="E72">
        <v>5182.08</v>
      </c>
    </row>
    <row r="73" spans="1:5" x14ac:dyDescent="0.3">
      <c r="A73" s="1">
        <v>45717</v>
      </c>
      <c r="B73" t="s">
        <v>20</v>
      </c>
      <c r="C73" t="s">
        <v>21</v>
      </c>
      <c r="D73" t="s">
        <v>22</v>
      </c>
      <c r="E73">
        <v>63440.68</v>
      </c>
    </row>
    <row r="74" spans="1:5" x14ac:dyDescent="0.3">
      <c r="A74" s="1">
        <v>45717</v>
      </c>
      <c r="B74" t="s">
        <v>20</v>
      </c>
      <c r="C74" t="s">
        <v>23</v>
      </c>
      <c r="D74" t="s">
        <v>7</v>
      </c>
      <c r="E74">
        <v>65978.559999999998</v>
      </c>
    </row>
    <row r="75" spans="1:5" x14ac:dyDescent="0.3">
      <c r="A75" s="1">
        <v>45717</v>
      </c>
      <c r="B75" t="s">
        <v>20</v>
      </c>
      <c r="C75" t="s">
        <v>24</v>
      </c>
      <c r="D75" t="s">
        <v>22</v>
      </c>
      <c r="E75">
        <v>34740.550000000003</v>
      </c>
    </row>
    <row r="76" spans="1:5" x14ac:dyDescent="0.3">
      <c r="A76" s="1">
        <v>45717</v>
      </c>
      <c r="B76" t="s">
        <v>20</v>
      </c>
      <c r="C76" t="s">
        <v>25</v>
      </c>
      <c r="D76" t="s">
        <v>7</v>
      </c>
      <c r="E76">
        <v>24912.33</v>
      </c>
    </row>
    <row r="77" spans="1:5" x14ac:dyDescent="0.3">
      <c r="A77" s="1">
        <v>45717</v>
      </c>
      <c r="B77" t="s">
        <v>20</v>
      </c>
      <c r="C77" t="s">
        <v>26</v>
      </c>
      <c r="D77" t="s">
        <v>22</v>
      </c>
      <c r="E77">
        <v>8411.2900000000009</v>
      </c>
    </row>
    <row r="78" spans="1:5" x14ac:dyDescent="0.3">
      <c r="A78" s="1">
        <v>45717</v>
      </c>
      <c r="B78" t="s">
        <v>20</v>
      </c>
      <c r="C78" t="s">
        <v>27</v>
      </c>
      <c r="D78" t="s">
        <v>22</v>
      </c>
      <c r="E78">
        <v>3497.46</v>
      </c>
    </row>
    <row r="79" spans="1:5" x14ac:dyDescent="0.3">
      <c r="A79" s="1">
        <v>45717</v>
      </c>
      <c r="B79" t="s">
        <v>20</v>
      </c>
      <c r="C79" t="s">
        <v>28</v>
      </c>
      <c r="D79" t="s">
        <v>7</v>
      </c>
      <c r="E79">
        <v>4462.97</v>
      </c>
    </row>
    <row r="80" spans="1:5" x14ac:dyDescent="0.3">
      <c r="A80" s="1">
        <v>45717</v>
      </c>
      <c r="B80" t="s">
        <v>29</v>
      </c>
      <c r="C80" t="s">
        <v>30</v>
      </c>
      <c r="D80" t="s">
        <v>31</v>
      </c>
      <c r="E80">
        <v>94106.54</v>
      </c>
    </row>
    <row r="81" spans="1:5" x14ac:dyDescent="0.3">
      <c r="A81" s="1">
        <v>45717</v>
      </c>
      <c r="B81" t="s">
        <v>29</v>
      </c>
      <c r="C81" t="s">
        <v>32</v>
      </c>
      <c r="D81" t="s">
        <v>33</v>
      </c>
      <c r="E81">
        <v>39594.6</v>
      </c>
    </row>
    <row r="82" spans="1:5" x14ac:dyDescent="0.3">
      <c r="A82" s="1">
        <v>45717</v>
      </c>
      <c r="B82" t="s">
        <v>29</v>
      </c>
      <c r="C82" t="s">
        <v>34</v>
      </c>
      <c r="D82" t="s">
        <v>31</v>
      </c>
      <c r="E82">
        <v>12147.28</v>
      </c>
    </row>
    <row r="83" spans="1:5" x14ac:dyDescent="0.3">
      <c r="A83" s="1">
        <v>45717</v>
      </c>
      <c r="B83" t="s">
        <v>29</v>
      </c>
      <c r="C83" t="s">
        <v>35</v>
      </c>
      <c r="D83" t="s">
        <v>31</v>
      </c>
      <c r="E83">
        <v>7430.58</v>
      </c>
    </row>
    <row r="84" spans="1:5" x14ac:dyDescent="0.3">
      <c r="A84" s="1">
        <v>45717</v>
      </c>
      <c r="B84" t="s">
        <v>29</v>
      </c>
      <c r="C84" t="s">
        <v>36</v>
      </c>
      <c r="D84" t="s">
        <v>31</v>
      </c>
      <c r="E84">
        <v>6609.96</v>
      </c>
    </row>
    <row r="85" spans="1:5" x14ac:dyDescent="0.3">
      <c r="A85" s="1">
        <v>45717</v>
      </c>
      <c r="B85" t="s">
        <v>37</v>
      </c>
      <c r="C85" t="s">
        <v>38</v>
      </c>
      <c r="D85" t="s">
        <v>39</v>
      </c>
      <c r="E85">
        <v>55437.61</v>
      </c>
    </row>
    <row r="86" spans="1:5" x14ac:dyDescent="0.3">
      <c r="A86" s="1">
        <v>45717</v>
      </c>
      <c r="B86" t="s">
        <v>37</v>
      </c>
      <c r="C86" t="s">
        <v>40</v>
      </c>
      <c r="D86" t="s">
        <v>18</v>
      </c>
      <c r="E86">
        <v>24899.4</v>
      </c>
    </row>
    <row r="87" spans="1:5" x14ac:dyDescent="0.3">
      <c r="A87" s="1">
        <v>45717</v>
      </c>
      <c r="B87" t="s">
        <v>37</v>
      </c>
      <c r="C87" t="s">
        <v>41</v>
      </c>
      <c r="D87" t="s">
        <v>15</v>
      </c>
      <c r="E87">
        <v>29663.18</v>
      </c>
    </row>
    <row r="88" spans="1:5" x14ac:dyDescent="0.3">
      <c r="A88" s="1">
        <v>45717</v>
      </c>
      <c r="B88" t="s">
        <v>37</v>
      </c>
      <c r="C88" t="s">
        <v>42</v>
      </c>
      <c r="D88" t="s">
        <v>15</v>
      </c>
      <c r="E88">
        <v>18358.23</v>
      </c>
    </row>
    <row r="89" spans="1:5" x14ac:dyDescent="0.3">
      <c r="A89" s="1">
        <v>45717</v>
      </c>
      <c r="B89" t="s">
        <v>37</v>
      </c>
      <c r="C89" t="s">
        <v>43</v>
      </c>
      <c r="D89" t="s">
        <v>18</v>
      </c>
      <c r="E89">
        <v>9492.8700000000008</v>
      </c>
    </row>
    <row r="90" spans="1:5" x14ac:dyDescent="0.3">
      <c r="A90" s="1">
        <v>45717</v>
      </c>
      <c r="B90" t="s">
        <v>37</v>
      </c>
      <c r="C90" t="s">
        <v>44</v>
      </c>
      <c r="D90" t="s">
        <v>18</v>
      </c>
      <c r="E90">
        <v>7193.18</v>
      </c>
    </row>
    <row r="91" spans="1:5" x14ac:dyDescent="0.3">
      <c r="A91" s="1">
        <v>45717</v>
      </c>
      <c r="B91" t="s">
        <v>37</v>
      </c>
      <c r="C91" t="s">
        <v>45</v>
      </c>
      <c r="D91" t="s">
        <v>15</v>
      </c>
      <c r="E91">
        <v>9531.4</v>
      </c>
    </row>
    <row r="92" spans="1:5" x14ac:dyDescent="0.3">
      <c r="A92" s="1">
        <v>45717</v>
      </c>
      <c r="B92" t="s">
        <v>37</v>
      </c>
      <c r="C92" t="s">
        <v>46</v>
      </c>
      <c r="D92" t="s">
        <v>18</v>
      </c>
      <c r="E92">
        <v>4429.74</v>
      </c>
    </row>
    <row r="93" spans="1:5" x14ac:dyDescent="0.3">
      <c r="A93" s="1">
        <v>45717</v>
      </c>
      <c r="B93" t="s">
        <v>37</v>
      </c>
      <c r="C93" t="s">
        <v>47</v>
      </c>
      <c r="D93" t="s">
        <v>15</v>
      </c>
      <c r="E93">
        <v>6305.87</v>
      </c>
    </row>
    <row r="94" spans="1:5" x14ac:dyDescent="0.3">
      <c r="A94" s="1">
        <v>45717</v>
      </c>
      <c r="B94" t="s">
        <v>37</v>
      </c>
      <c r="C94" t="s">
        <v>48</v>
      </c>
      <c r="D94" t="s">
        <v>15</v>
      </c>
      <c r="E94">
        <v>2792.08</v>
      </c>
    </row>
    <row r="95" spans="1:5" x14ac:dyDescent="0.3">
      <c r="A95" s="1">
        <v>45748</v>
      </c>
      <c r="B95" t="s">
        <v>5</v>
      </c>
      <c r="C95" t="s">
        <v>6</v>
      </c>
      <c r="D95" t="s">
        <v>7</v>
      </c>
      <c r="E95">
        <v>47328.7</v>
      </c>
    </row>
    <row r="96" spans="1:5" x14ac:dyDescent="0.3">
      <c r="A96" s="1">
        <v>45748</v>
      </c>
      <c r="B96" t="s">
        <v>5</v>
      </c>
      <c r="C96" t="s">
        <v>8</v>
      </c>
      <c r="D96" t="s">
        <v>7</v>
      </c>
      <c r="E96">
        <v>86167.38</v>
      </c>
    </row>
    <row r="97" spans="1:5" x14ac:dyDescent="0.3">
      <c r="A97" s="1">
        <v>45748</v>
      </c>
      <c r="B97" t="s">
        <v>5</v>
      </c>
      <c r="C97" t="s">
        <v>9</v>
      </c>
      <c r="D97" t="s">
        <v>7</v>
      </c>
      <c r="E97">
        <v>125694.2</v>
      </c>
    </row>
    <row r="98" spans="1:5" x14ac:dyDescent="0.3">
      <c r="A98" s="1">
        <v>45748</v>
      </c>
      <c r="B98" t="s">
        <v>5</v>
      </c>
      <c r="C98" t="s">
        <v>10</v>
      </c>
      <c r="D98" t="s">
        <v>11</v>
      </c>
      <c r="E98">
        <v>31758.89</v>
      </c>
    </row>
    <row r="99" spans="1:5" x14ac:dyDescent="0.3">
      <c r="A99" s="1">
        <v>45748</v>
      </c>
      <c r="B99" t="s">
        <v>5</v>
      </c>
      <c r="C99" t="s">
        <v>12</v>
      </c>
      <c r="D99" t="s">
        <v>11</v>
      </c>
      <c r="E99">
        <v>8628.1299999999992</v>
      </c>
    </row>
    <row r="100" spans="1:5" x14ac:dyDescent="0.3">
      <c r="A100" s="1">
        <v>45748</v>
      </c>
      <c r="B100" t="s">
        <v>13</v>
      </c>
      <c r="C100" t="s">
        <v>14</v>
      </c>
      <c r="D100" t="s">
        <v>15</v>
      </c>
      <c r="E100">
        <v>41081.74</v>
      </c>
    </row>
    <row r="101" spans="1:5" x14ac:dyDescent="0.3">
      <c r="A101" s="1">
        <v>45748</v>
      </c>
      <c r="B101" t="s">
        <v>13</v>
      </c>
      <c r="C101" t="s">
        <v>16</v>
      </c>
      <c r="D101" t="s">
        <v>11</v>
      </c>
      <c r="E101">
        <v>28404.07</v>
      </c>
    </row>
    <row r="102" spans="1:5" x14ac:dyDescent="0.3">
      <c r="A102" s="1">
        <v>45748</v>
      </c>
      <c r="B102" t="s">
        <v>13</v>
      </c>
      <c r="C102" t="s">
        <v>17</v>
      </c>
      <c r="D102" t="s">
        <v>18</v>
      </c>
      <c r="E102">
        <v>8263.33</v>
      </c>
    </row>
    <row r="103" spans="1:5" x14ac:dyDescent="0.3">
      <c r="A103" s="1">
        <v>45748</v>
      </c>
      <c r="B103" t="s">
        <v>13</v>
      </c>
      <c r="C103" t="s">
        <v>19</v>
      </c>
      <c r="D103" t="s">
        <v>15</v>
      </c>
      <c r="E103">
        <v>5742.79</v>
      </c>
    </row>
    <row r="104" spans="1:5" x14ac:dyDescent="0.3">
      <c r="A104" s="1">
        <v>45748</v>
      </c>
      <c r="B104" t="s">
        <v>20</v>
      </c>
      <c r="C104" t="s">
        <v>21</v>
      </c>
      <c r="D104" t="s">
        <v>22</v>
      </c>
      <c r="E104">
        <v>45817.7</v>
      </c>
    </row>
    <row r="105" spans="1:5" x14ac:dyDescent="0.3">
      <c r="A105" s="1">
        <v>45748</v>
      </c>
      <c r="B105" t="s">
        <v>20</v>
      </c>
      <c r="C105" t="s">
        <v>23</v>
      </c>
      <c r="D105" t="s">
        <v>7</v>
      </c>
      <c r="E105">
        <v>65096.12</v>
      </c>
    </row>
    <row r="106" spans="1:5" x14ac:dyDescent="0.3">
      <c r="A106" s="1">
        <v>45748</v>
      </c>
      <c r="B106" t="s">
        <v>20</v>
      </c>
      <c r="C106" t="s">
        <v>24</v>
      </c>
      <c r="D106" t="s">
        <v>22</v>
      </c>
      <c r="E106">
        <v>34673.56</v>
      </c>
    </row>
    <row r="107" spans="1:5" x14ac:dyDescent="0.3">
      <c r="A107" s="1">
        <v>45748</v>
      </c>
      <c r="B107" t="s">
        <v>20</v>
      </c>
      <c r="C107" t="s">
        <v>25</v>
      </c>
      <c r="D107" t="s">
        <v>7</v>
      </c>
      <c r="E107">
        <v>24641.85</v>
      </c>
    </row>
    <row r="108" spans="1:5" x14ac:dyDescent="0.3">
      <c r="A108" s="1">
        <v>45748</v>
      </c>
      <c r="B108" t="s">
        <v>20</v>
      </c>
      <c r="C108" t="s">
        <v>26</v>
      </c>
      <c r="D108" t="s">
        <v>22</v>
      </c>
      <c r="E108">
        <v>8169.82</v>
      </c>
    </row>
    <row r="109" spans="1:5" x14ac:dyDescent="0.3">
      <c r="A109" s="1">
        <v>45748</v>
      </c>
      <c r="B109" t="s">
        <v>20</v>
      </c>
      <c r="C109" t="s">
        <v>27</v>
      </c>
      <c r="D109" t="s">
        <v>22</v>
      </c>
      <c r="E109">
        <v>12782.34</v>
      </c>
    </row>
    <row r="110" spans="1:5" x14ac:dyDescent="0.3">
      <c r="A110" s="1">
        <v>45748</v>
      </c>
      <c r="B110" t="s">
        <v>20</v>
      </c>
      <c r="C110" t="s">
        <v>28</v>
      </c>
      <c r="D110" t="s">
        <v>7</v>
      </c>
      <c r="E110">
        <v>4458.3500000000004</v>
      </c>
    </row>
    <row r="111" spans="1:5" x14ac:dyDescent="0.3">
      <c r="A111" s="1">
        <v>45748</v>
      </c>
      <c r="B111" t="s">
        <v>29</v>
      </c>
      <c r="C111" t="s">
        <v>30</v>
      </c>
      <c r="D111" t="s">
        <v>31</v>
      </c>
      <c r="E111">
        <v>96724.5</v>
      </c>
    </row>
    <row r="112" spans="1:5" x14ac:dyDescent="0.3">
      <c r="A112" s="1">
        <v>45748</v>
      </c>
      <c r="B112" t="s">
        <v>29</v>
      </c>
      <c r="C112" t="s">
        <v>32</v>
      </c>
      <c r="D112" t="s">
        <v>33</v>
      </c>
      <c r="E112">
        <v>40601.360000000001</v>
      </c>
    </row>
    <row r="113" spans="1:5" x14ac:dyDescent="0.3">
      <c r="A113" s="1">
        <v>45748</v>
      </c>
      <c r="B113" t="s">
        <v>29</v>
      </c>
      <c r="C113" t="s">
        <v>34</v>
      </c>
      <c r="D113" t="s">
        <v>31</v>
      </c>
      <c r="E113">
        <v>11432.13</v>
      </c>
    </row>
    <row r="114" spans="1:5" x14ac:dyDescent="0.3">
      <c r="A114" s="1">
        <v>45748</v>
      </c>
      <c r="B114" t="s">
        <v>29</v>
      </c>
      <c r="C114" t="s">
        <v>35</v>
      </c>
      <c r="D114" t="s">
        <v>31</v>
      </c>
      <c r="E114">
        <v>8001.41</v>
      </c>
    </row>
    <row r="115" spans="1:5" x14ac:dyDescent="0.3">
      <c r="A115" s="1">
        <v>45748</v>
      </c>
      <c r="B115" t="s">
        <v>29</v>
      </c>
      <c r="C115" t="s">
        <v>36</v>
      </c>
      <c r="D115" t="s">
        <v>31</v>
      </c>
      <c r="E115">
        <v>6082.25</v>
      </c>
    </row>
    <row r="116" spans="1:5" x14ac:dyDescent="0.3">
      <c r="A116" s="1">
        <v>45748</v>
      </c>
      <c r="B116" t="s">
        <v>37</v>
      </c>
      <c r="C116" t="s">
        <v>38</v>
      </c>
      <c r="D116" t="s">
        <v>39</v>
      </c>
      <c r="E116">
        <v>55453.89</v>
      </c>
    </row>
    <row r="117" spans="1:5" x14ac:dyDescent="0.3">
      <c r="A117" s="1">
        <v>45748</v>
      </c>
      <c r="B117" t="s">
        <v>37</v>
      </c>
      <c r="C117" t="s">
        <v>40</v>
      </c>
      <c r="D117" t="s">
        <v>18</v>
      </c>
      <c r="E117">
        <v>25370.52</v>
      </c>
    </row>
    <row r="118" spans="1:5" x14ac:dyDescent="0.3">
      <c r="A118" s="1">
        <v>45748</v>
      </c>
      <c r="B118" t="s">
        <v>37</v>
      </c>
      <c r="C118" t="s">
        <v>41</v>
      </c>
      <c r="D118" t="s">
        <v>15</v>
      </c>
      <c r="E118">
        <v>29758.13</v>
      </c>
    </row>
    <row r="119" spans="1:5" x14ac:dyDescent="0.3">
      <c r="A119" s="1">
        <v>45748</v>
      </c>
      <c r="B119" t="s">
        <v>37</v>
      </c>
      <c r="C119" t="s">
        <v>42</v>
      </c>
      <c r="D119" t="s">
        <v>15</v>
      </c>
      <c r="E119">
        <v>18100.04</v>
      </c>
    </row>
    <row r="120" spans="1:5" x14ac:dyDescent="0.3">
      <c r="A120" s="1">
        <v>45748</v>
      </c>
      <c r="B120" t="s">
        <v>37</v>
      </c>
      <c r="C120" t="s">
        <v>43</v>
      </c>
      <c r="D120" t="s">
        <v>18</v>
      </c>
      <c r="E120">
        <v>9940.3700000000008</v>
      </c>
    </row>
    <row r="121" spans="1:5" x14ac:dyDescent="0.3">
      <c r="A121" s="1">
        <v>45748</v>
      </c>
      <c r="B121" t="s">
        <v>37</v>
      </c>
      <c r="C121" t="s">
        <v>44</v>
      </c>
      <c r="D121" t="s">
        <v>18</v>
      </c>
      <c r="E121">
        <v>7239.63</v>
      </c>
    </row>
    <row r="122" spans="1:5" x14ac:dyDescent="0.3">
      <c r="A122" s="1">
        <v>45748</v>
      </c>
      <c r="B122" t="s">
        <v>37</v>
      </c>
      <c r="C122" t="s">
        <v>45</v>
      </c>
      <c r="D122" t="s">
        <v>15</v>
      </c>
      <c r="E122">
        <v>12285.67</v>
      </c>
    </row>
    <row r="123" spans="1:5" x14ac:dyDescent="0.3">
      <c r="A123" s="1">
        <v>45748</v>
      </c>
      <c r="B123" t="s">
        <v>37</v>
      </c>
      <c r="C123" t="s">
        <v>46</v>
      </c>
      <c r="D123" t="s">
        <v>18</v>
      </c>
      <c r="E123">
        <v>4507.09</v>
      </c>
    </row>
    <row r="124" spans="1:5" x14ac:dyDescent="0.3">
      <c r="A124" s="1">
        <v>45748</v>
      </c>
      <c r="B124" t="s">
        <v>37</v>
      </c>
      <c r="C124" t="s">
        <v>47</v>
      </c>
      <c r="D124" t="s">
        <v>15</v>
      </c>
      <c r="E124">
        <v>6668.7</v>
      </c>
    </row>
    <row r="125" spans="1:5" x14ac:dyDescent="0.3">
      <c r="A125" s="1">
        <v>45748</v>
      </c>
      <c r="B125" t="s">
        <v>37</v>
      </c>
      <c r="C125" t="s">
        <v>48</v>
      </c>
      <c r="D125" t="s">
        <v>15</v>
      </c>
      <c r="E125">
        <v>2530.35</v>
      </c>
    </row>
    <row r="126" spans="1:5" x14ac:dyDescent="0.3">
      <c r="A126" s="1">
        <v>45778</v>
      </c>
      <c r="B126" t="s">
        <v>5</v>
      </c>
      <c r="C126" t="s">
        <v>6</v>
      </c>
      <c r="D126" t="s">
        <v>7</v>
      </c>
      <c r="E126">
        <v>46172.78</v>
      </c>
    </row>
    <row r="127" spans="1:5" x14ac:dyDescent="0.3">
      <c r="A127" s="1">
        <v>45778</v>
      </c>
      <c r="B127" t="s">
        <v>5</v>
      </c>
      <c r="C127" t="s">
        <v>8</v>
      </c>
      <c r="D127" t="s">
        <v>7</v>
      </c>
      <c r="E127">
        <v>90185.75</v>
      </c>
    </row>
    <row r="128" spans="1:5" x14ac:dyDescent="0.3">
      <c r="A128" s="1">
        <v>45778</v>
      </c>
      <c r="B128" t="s">
        <v>5</v>
      </c>
      <c r="C128" t="s">
        <v>9</v>
      </c>
      <c r="D128" t="s">
        <v>7</v>
      </c>
      <c r="E128">
        <v>123372.42</v>
      </c>
    </row>
    <row r="129" spans="1:5" x14ac:dyDescent="0.3">
      <c r="A129" s="1">
        <v>45778</v>
      </c>
      <c r="B129" t="s">
        <v>5</v>
      </c>
      <c r="C129" t="s">
        <v>10</v>
      </c>
      <c r="D129" t="s">
        <v>11</v>
      </c>
      <c r="E129">
        <v>31634.27</v>
      </c>
    </row>
    <row r="130" spans="1:5" x14ac:dyDescent="0.3">
      <c r="A130" s="1">
        <v>45778</v>
      </c>
      <c r="B130" t="s">
        <v>5</v>
      </c>
      <c r="C130" t="s">
        <v>12</v>
      </c>
      <c r="D130" t="s">
        <v>11</v>
      </c>
      <c r="E130">
        <v>10603.29</v>
      </c>
    </row>
    <row r="131" spans="1:5" x14ac:dyDescent="0.3">
      <c r="A131" s="1">
        <v>45778</v>
      </c>
      <c r="B131" t="s">
        <v>13</v>
      </c>
      <c r="C131" t="s">
        <v>14</v>
      </c>
      <c r="D131" t="s">
        <v>15</v>
      </c>
      <c r="E131">
        <v>40146.699999999997</v>
      </c>
    </row>
    <row r="132" spans="1:5" x14ac:dyDescent="0.3">
      <c r="A132" s="1">
        <v>45778</v>
      </c>
      <c r="B132" t="s">
        <v>13</v>
      </c>
      <c r="C132" t="s">
        <v>16</v>
      </c>
      <c r="D132" t="s">
        <v>11</v>
      </c>
      <c r="E132">
        <v>27784.42</v>
      </c>
    </row>
    <row r="133" spans="1:5" x14ac:dyDescent="0.3">
      <c r="A133" s="1">
        <v>45778</v>
      </c>
      <c r="B133" t="s">
        <v>13</v>
      </c>
      <c r="C133" t="s">
        <v>17</v>
      </c>
      <c r="D133" t="s">
        <v>18</v>
      </c>
      <c r="E133">
        <v>8369.9599999999991</v>
      </c>
    </row>
    <row r="134" spans="1:5" x14ac:dyDescent="0.3">
      <c r="A134" s="1">
        <v>45778</v>
      </c>
      <c r="B134" t="s">
        <v>13</v>
      </c>
      <c r="C134" t="s">
        <v>19</v>
      </c>
      <c r="D134" t="s">
        <v>15</v>
      </c>
      <c r="E134">
        <v>5915.81</v>
      </c>
    </row>
    <row r="135" spans="1:5" x14ac:dyDescent="0.3">
      <c r="A135" s="1">
        <v>45778</v>
      </c>
      <c r="B135" t="s">
        <v>20</v>
      </c>
      <c r="C135" t="s">
        <v>21</v>
      </c>
      <c r="D135" t="s">
        <v>22</v>
      </c>
      <c r="E135">
        <v>47011.27</v>
      </c>
    </row>
    <row r="136" spans="1:5" x14ac:dyDescent="0.3">
      <c r="A136" s="1">
        <v>45778</v>
      </c>
      <c r="B136" t="s">
        <v>20</v>
      </c>
      <c r="C136" t="s">
        <v>23</v>
      </c>
      <c r="D136" t="s">
        <v>7</v>
      </c>
      <c r="E136">
        <v>63922.7</v>
      </c>
    </row>
    <row r="137" spans="1:5" x14ac:dyDescent="0.3">
      <c r="A137" s="1">
        <v>45778</v>
      </c>
      <c r="B137" t="s">
        <v>20</v>
      </c>
      <c r="C137" t="s">
        <v>24</v>
      </c>
      <c r="D137" t="s">
        <v>22</v>
      </c>
      <c r="E137">
        <v>34980.39</v>
      </c>
    </row>
    <row r="138" spans="1:5" x14ac:dyDescent="0.3">
      <c r="A138" s="1">
        <v>45778</v>
      </c>
      <c r="B138" t="s">
        <v>20</v>
      </c>
      <c r="C138" t="s">
        <v>25</v>
      </c>
      <c r="D138" t="s">
        <v>7</v>
      </c>
      <c r="E138">
        <v>22076.13</v>
      </c>
    </row>
    <row r="139" spans="1:5" x14ac:dyDescent="0.3">
      <c r="A139" s="1">
        <v>45778</v>
      </c>
      <c r="B139" t="s">
        <v>20</v>
      </c>
      <c r="C139" t="s">
        <v>26</v>
      </c>
      <c r="D139" t="s">
        <v>22</v>
      </c>
      <c r="E139">
        <v>8721.51</v>
      </c>
    </row>
    <row r="140" spans="1:5" x14ac:dyDescent="0.3">
      <c r="A140" s="1">
        <v>45778</v>
      </c>
      <c r="B140" t="s">
        <v>20</v>
      </c>
      <c r="C140" t="s">
        <v>27</v>
      </c>
      <c r="D140" t="s">
        <v>22</v>
      </c>
      <c r="E140">
        <v>7558.77</v>
      </c>
    </row>
    <row r="141" spans="1:5" x14ac:dyDescent="0.3">
      <c r="A141" s="1">
        <v>45778</v>
      </c>
      <c r="B141" t="s">
        <v>20</v>
      </c>
      <c r="C141" t="s">
        <v>28</v>
      </c>
      <c r="D141" t="s">
        <v>7</v>
      </c>
      <c r="E141">
        <v>4165.55</v>
      </c>
    </row>
    <row r="142" spans="1:5" x14ac:dyDescent="0.3">
      <c r="A142" s="1">
        <v>45778</v>
      </c>
      <c r="B142" t="s">
        <v>29</v>
      </c>
      <c r="C142" t="s">
        <v>30</v>
      </c>
      <c r="D142" t="s">
        <v>31</v>
      </c>
      <c r="E142">
        <v>94906.07</v>
      </c>
    </row>
    <row r="143" spans="1:5" x14ac:dyDescent="0.3">
      <c r="A143" s="1">
        <v>45778</v>
      </c>
      <c r="B143" t="s">
        <v>29</v>
      </c>
      <c r="C143" t="s">
        <v>32</v>
      </c>
      <c r="D143" t="s">
        <v>33</v>
      </c>
      <c r="E143">
        <v>40079.69</v>
      </c>
    </row>
    <row r="144" spans="1:5" x14ac:dyDescent="0.3">
      <c r="A144" s="1">
        <v>45778</v>
      </c>
      <c r="B144" t="s">
        <v>29</v>
      </c>
      <c r="C144" t="s">
        <v>34</v>
      </c>
      <c r="D144" t="s">
        <v>31</v>
      </c>
      <c r="E144">
        <v>11436.14</v>
      </c>
    </row>
    <row r="145" spans="1:5" x14ac:dyDescent="0.3">
      <c r="A145" s="1">
        <v>45778</v>
      </c>
      <c r="B145" t="s">
        <v>29</v>
      </c>
      <c r="C145" t="s">
        <v>35</v>
      </c>
      <c r="D145" t="s">
        <v>31</v>
      </c>
      <c r="E145">
        <v>8893.84</v>
      </c>
    </row>
    <row r="146" spans="1:5" x14ac:dyDescent="0.3">
      <c r="A146" s="1">
        <v>45778</v>
      </c>
      <c r="B146" t="s">
        <v>29</v>
      </c>
      <c r="C146" t="s">
        <v>36</v>
      </c>
      <c r="D146" t="s">
        <v>31</v>
      </c>
      <c r="E146">
        <v>6400.08</v>
      </c>
    </row>
    <row r="147" spans="1:5" x14ac:dyDescent="0.3">
      <c r="A147" s="1">
        <v>45778</v>
      </c>
      <c r="B147" t="s">
        <v>37</v>
      </c>
      <c r="C147" t="s">
        <v>38</v>
      </c>
      <c r="D147" t="s">
        <v>39</v>
      </c>
      <c r="E147">
        <v>54682.98</v>
      </c>
    </row>
    <row r="148" spans="1:5" x14ac:dyDescent="0.3">
      <c r="A148" s="1">
        <v>45778</v>
      </c>
      <c r="B148" t="s">
        <v>37</v>
      </c>
      <c r="C148" t="s">
        <v>40</v>
      </c>
      <c r="D148" t="s">
        <v>18</v>
      </c>
      <c r="E148">
        <v>25039.3</v>
      </c>
    </row>
    <row r="149" spans="1:5" x14ac:dyDescent="0.3">
      <c r="A149" s="1">
        <v>45778</v>
      </c>
      <c r="B149" t="s">
        <v>37</v>
      </c>
      <c r="C149" t="s">
        <v>41</v>
      </c>
      <c r="D149" t="s">
        <v>15</v>
      </c>
      <c r="E149">
        <v>30275.919999999998</v>
      </c>
    </row>
    <row r="150" spans="1:5" x14ac:dyDescent="0.3">
      <c r="A150" s="1">
        <v>45778</v>
      </c>
      <c r="B150" t="s">
        <v>37</v>
      </c>
      <c r="C150" t="s">
        <v>42</v>
      </c>
      <c r="D150" t="s">
        <v>15</v>
      </c>
      <c r="E150">
        <v>17784.830000000002</v>
      </c>
    </row>
    <row r="151" spans="1:5" x14ac:dyDescent="0.3">
      <c r="A151" s="1">
        <v>45778</v>
      </c>
      <c r="B151" t="s">
        <v>37</v>
      </c>
      <c r="C151" t="s">
        <v>43</v>
      </c>
      <c r="D151" t="s">
        <v>18</v>
      </c>
      <c r="E151">
        <v>8602.7199999999993</v>
      </c>
    </row>
    <row r="152" spans="1:5" x14ac:dyDescent="0.3">
      <c r="A152" s="1">
        <v>45778</v>
      </c>
      <c r="B152" t="s">
        <v>37</v>
      </c>
      <c r="C152" t="s">
        <v>44</v>
      </c>
      <c r="D152" t="s">
        <v>18</v>
      </c>
      <c r="E152">
        <v>7871.36</v>
      </c>
    </row>
    <row r="153" spans="1:5" x14ac:dyDescent="0.3">
      <c r="A153" s="1">
        <v>45778</v>
      </c>
      <c r="B153" t="s">
        <v>37</v>
      </c>
      <c r="C153" t="s">
        <v>45</v>
      </c>
      <c r="D153" t="s">
        <v>15</v>
      </c>
      <c r="E153">
        <v>11852.03</v>
      </c>
    </row>
    <row r="154" spans="1:5" x14ac:dyDescent="0.3">
      <c r="A154" s="1">
        <v>45778</v>
      </c>
      <c r="B154" t="s">
        <v>37</v>
      </c>
      <c r="C154" t="s">
        <v>46</v>
      </c>
      <c r="D154" t="s">
        <v>18</v>
      </c>
      <c r="E154">
        <v>4488.8599999999997</v>
      </c>
    </row>
    <row r="155" spans="1:5" x14ac:dyDescent="0.3">
      <c r="A155" s="1">
        <v>45778</v>
      </c>
      <c r="B155" t="s">
        <v>37</v>
      </c>
      <c r="C155" t="s">
        <v>47</v>
      </c>
      <c r="D155" t="s">
        <v>15</v>
      </c>
      <c r="E155">
        <v>6042.18</v>
      </c>
    </row>
    <row r="156" spans="1:5" x14ac:dyDescent="0.3">
      <c r="A156" s="1">
        <v>45778</v>
      </c>
      <c r="B156" t="s">
        <v>37</v>
      </c>
      <c r="C156" t="s">
        <v>48</v>
      </c>
      <c r="D156" t="s">
        <v>15</v>
      </c>
      <c r="E156">
        <v>2121</v>
      </c>
    </row>
    <row r="157" spans="1:5" x14ac:dyDescent="0.3">
      <c r="A157" s="1">
        <v>45809</v>
      </c>
      <c r="B157" t="s">
        <v>5</v>
      </c>
      <c r="C157" t="s">
        <v>6</v>
      </c>
      <c r="D157" t="s">
        <v>7</v>
      </c>
      <c r="E157">
        <v>48137.25</v>
      </c>
    </row>
    <row r="158" spans="1:5" x14ac:dyDescent="0.3">
      <c r="A158" s="1">
        <v>45809</v>
      </c>
      <c r="B158" t="s">
        <v>5</v>
      </c>
      <c r="C158" t="s">
        <v>8</v>
      </c>
      <c r="D158" t="s">
        <v>7</v>
      </c>
      <c r="E158">
        <v>91986.1</v>
      </c>
    </row>
    <row r="159" spans="1:5" x14ac:dyDescent="0.3">
      <c r="A159" s="1">
        <v>45809</v>
      </c>
      <c r="B159" t="s">
        <v>5</v>
      </c>
      <c r="C159" t="s">
        <v>9</v>
      </c>
      <c r="D159" t="s">
        <v>7</v>
      </c>
      <c r="E159">
        <v>133165.68</v>
      </c>
    </row>
    <row r="160" spans="1:5" x14ac:dyDescent="0.3">
      <c r="A160" s="1">
        <v>45809</v>
      </c>
      <c r="B160" t="s">
        <v>5</v>
      </c>
      <c r="C160" t="s">
        <v>10</v>
      </c>
      <c r="D160" t="s">
        <v>11</v>
      </c>
      <c r="E160">
        <v>24531.26</v>
      </c>
    </row>
    <row r="161" spans="1:5" x14ac:dyDescent="0.3">
      <c r="A161" s="1">
        <v>45809</v>
      </c>
      <c r="B161" t="s">
        <v>5</v>
      </c>
      <c r="C161" t="s">
        <v>12</v>
      </c>
      <c r="D161" t="s">
        <v>11</v>
      </c>
      <c r="E161">
        <v>7322.75</v>
      </c>
    </row>
    <row r="162" spans="1:5" x14ac:dyDescent="0.3">
      <c r="A162" s="1">
        <v>45809</v>
      </c>
      <c r="B162" t="s">
        <v>13</v>
      </c>
      <c r="C162" t="s">
        <v>14</v>
      </c>
      <c r="D162" t="s">
        <v>15</v>
      </c>
      <c r="E162">
        <v>33605.339999999997</v>
      </c>
    </row>
    <row r="163" spans="1:5" x14ac:dyDescent="0.3">
      <c r="A163" s="1">
        <v>45809</v>
      </c>
      <c r="B163" t="s">
        <v>13</v>
      </c>
      <c r="C163" t="s">
        <v>16</v>
      </c>
      <c r="D163" t="s">
        <v>11</v>
      </c>
      <c r="E163">
        <v>28146.84</v>
      </c>
    </row>
    <row r="164" spans="1:5" x14ac:dyDescent="0.3">
      <c r="A164" s="1">
        <v>45809</v>
      </c>
      <c r="B164" t="s">
        <v>13</v>
      </c>
      <c r="C164" t="s">
        <v>17</v>
      </c>
      <c r="D164" t="s">
        <v>18</v>
      </c>
      <c r="E164">
        <v>8609.2800000000007</v>
      </c>
    </row>
    <row r="165" spans="1:5" x14ac:dyDescent="0.3">
      <c r="A165" s="1">
        <v>45809</v>
      </c>
      <c r="B165" t="s">
        <v>13</v>
      </c>
      <c r="C165" t="s">
        <v>19</v>
      </c>
      <c r="D165" t="s">
        <v>15</v>
      </c>
      <c r="E165">
        <v>5945.96</v>
      </c>
    </row>
    <row r="166" spans="1:5" x14ac:dyDescent="0.3">
      <c r="A166" s="1">
        <v>45809</v>
      </c>
      <c r="B166" t="s">
        <v>20</v>
      </c>
      <c r="C166" t="s">
        <v>21</v>
      </c>
      <c r="D166" t="s">
        <v>22</v>
      </c>
      <c r="E166">
        <v>62934.79</v>
      </c>
    </row>
    <row r="167" spans="1:5" x14ac:dyDescent="0.3">
      <c r="A167" s="1">
        <v>45809</v>
      </c>
      <c r="B167" t="s">
        <v>20</v>
      </c>
      <c r="C167" t="s">
        <v>23</v>
      </c>
      <c r="D167" t="s">
        <v>7</v>
      </c>
      <c r="E167">
        <v>63884.23</v>
      </c>
    </row>
    <row r="168" spans="1:5" x14ac:dyDescent="0.3">
      <c r="A168" s="1">
        <v>45809</v>
      </c>
      <c r="B168" t="s">
        <v>20</v>
      </c>
      <c r="C168" t="s">
        <v>24</v>
      </c>
      <c r="D168" t="s">
        <v>22</v>
      </c>
      <c r="E168">
        <v>34633.21</v>
      </c>
    </row>
    <row r="169" spans="1:5" x14ac:dyDescent="0.3">
      <c r="A169" s="1">
        <v>45809</v>
      </c>
      <c r="B169" t="s">
        <v>20</v>
      </c>
      <c r="C169" t="s">
        <v>25</v>
      </c>
      <c r="D169" t="s">
        <v>7</v>
      </c>
      <c r="E169">
        <v>25236.44</v>
      </c>
    </row>
    <row r="170" spans="1:5" x14ac:dyDescent="0.3">
      <c r="A170" s="1">
        <v>45809</v>
      </c>
      <c r="B170" t="s">
        <v>20</v>
      </c>
      <c r="C170" t="s">
        <v>26</v>
      </c>
      <c r="D170" t="s">
        <v>22</v>
      </c>
      <c r="E170">
        <v>8257.1</v>
      </c>
    </row>
    <row r="171" spans="1:5" x14ac:dyDescent="0.3">
      <c r="A171" s="1">
        <v>45809</v>
      </c>
      <c r="B171" t="s">
        <v>20</v>
      </c>
      <c r="C171" t="s">
        <v>27</v>
      </c>
      <c r="D171" t="s">
        <v>22</v>
      </c>
      <c r="E171">
        <v>14947.02</v>
      </c>
    </row>
    <row r="172" spans="1:5" x14ac:dyDescent="0.3">
      <c r="A172" s="1">
        <v>45809</v>
      </c>
      <c r="B172" t="s">
        <v>20</v>
      </c>
      <c r="C172" t="s">
        <v>28</v>
      </c>
      <c r="D172" t="s">
        <v>7</v>
      </c>
      <c r="E172">
        <v>4891.96</v>
      </c>
    </row>
    <row r="173" spans="1:5" x14ac:dyDescent="0.3">
      <c r="A173" s="1">
        <v>45809</v>
      </c>
      <c r="B173" t="s">
        <v>29</v>
      </c>
      <c r="C173" t="s">
        <v>30</v>
      </c>
      <c r="D173" t="s">
        <v>31</v>
      </c>
      <c r="E173">
        <v>95269.96</v>
      </c>
    </row>
    <row r="174" spans="1:5" x14ac:dyDescent="0.3">
      <c r="A174" s="1">
        <v>45809</v>
      </c>
      <c r="B174" t="s">
        <v>29</v>
      </c>
      <c r="C174" t="s">
        <v>32</v>
      </c>
      <c r="D174" t="s">
        <v>33</v>
      </c>
      <c r="E174">
        <v>39956.269999999997</v>
      </c>
    </row>
    <row r="175" spans="1:5" x14ac:dyDescent="0.3">
      <c r="A175" s="1">
        <v>45809</v>
      </c>
      <c r="B175" t="s">
        <v>29</v>
      </c>
      <c r="C175" t="s">
        <v>34</v>
      </c>
      <c r="D175" t="s">
        <v>31</v>
      </c>
      <c r="E175">
        <v>12683.09</v>
      </c>
    </row>
    <row r="176" spans="1:5" x14ac:dyDescent="0.3">
      <c r="A176" s="1">
        <v>45809</v>
      </c>
      <c r="B176" t="s">
        <v>29</v>
      </c>
      <c r="C176" t="s">
        <v>35</v>
      </c>
      <c r="D176" t="s">
        <v>31</v>
      </c>
      <c r="E176">
        <v>8737.99</v>
      </c>
    </row>
    <row r="177" spans="1:5" x14ac:dyDescent="0.3">
      <c r="A177" s="1">
        <v>45809</v>
      </c>
      <c r="B177" t="s">
        <v>29</v>
      </c>
      <c r="C177" t="s">
        <v>36</v>
      </c>
      <c r="D177" t="s">
        <v>31</v>
      </c>
      <c r="E177">
        <v>6097.53</v>
      </c>
    </row>
    <row r="178" spans="1:5" x14ac:dyDescent="0.3">
      <c r="A178" s="1">
        <v>45809</v>
      </c>
      <c r="B178" t="s">
        <v>37</v>
      </c>
      <c r="C178" t="s">
        <v>38</v>
      </c>
      <c r="D178" t="s">
        <v>39</v>
      </c>
      <c r="E178">
        <v>54556.62</v>
      </c>
    </row>
    <row r="179" spans="1:5" x14ac:dyDescent="0.3">
      <c r="A179" s="1">
        <v>45809</v>
      </c>
      <c r="B179" t="s">
        <v>37</v>
      </c>
      <c r="C179" t="s">
        <v>40</v>
      </c>
      <c r="D179" t="s">
        <v>18</v>
      </c>
      <c r="E179">
        <v>24931.05</v>
      </c>
    </row>
    <row r="180" spans="1:5" x14ac:dyDescent="0.3">
      <c r="A180" s="1">
        <v>45809</v>
      </c>
      <c r="B180" t="s">
        <v>37</v>
      </c>
      <c r="C180" t="s">
        <v>41</v>
      </c>
      <c r="D180" t="s">
        <v>15</v>
      </c>
      <c r="E180">
        <v>29908.29</v>
      </c>
    </row>
    <row r="181" spans="1:5" x14ac:dyDescent="0.3">
      <c r="A181" s="1">
        <v>45809</v>
      </c>
      <c r="B181" t="s">
        <v>37</v>
      </c>
      <c r="C181" t="s">
        <v>42</v>
      </c>
      <c r="D181" t="s">
        <v>15</v>
      </c>
      <c r="E181">
        <v>17976.259999999998</v>
      </c>
    </row>
    <row r="182" spans="1:5" x14ac:dyDescent="0.3">
      <c r="A182" s="1">
        <v>45809</v>
      </c>
      <c r="B182" t="s">
        <v>37</v>
      </c>
      <c r="C182" t="s">
        <v>43</v>
      </c>
      <c r="D182" t="s">
        <v>18</v>
      </c>
      <c r="E182">
        <v>10480.84</v>
      </c>
    </row>
    <row r="183" spans="1:5" x14ac:dyDescent="0.3">
      <c r="A183" s="1">
        <v>45809</v>
      </c>
      <c r="B183" t="s">
        <v>37</v>
      </c>
      <c r="C183" t="s">
        <v>44</v>
      </c>
      <c r="D183" t="s">
        <v>18</v>
      </c>
      <c r="E183">
        <v>7630.02</v>
      </c>
    </row>
    <row r="184" spans="1:5" x14ac:dyDescent="0.3">
      <c r="A184" s="1">
        <v>45809</v>
      </c>
      <c r="B184" t="s">
        <v>37</v>
      </c>
      <c r="C184" t="s">
        <v>45</v>
      </c>
      <c r="D184" t="s">
        <v>15</v>
      </c>
      <c r="E184">
        <v>13139.04</v>
      </c>
    </row>
    <row r="185" spans="1:5" x14ac:dyDescent="0.3">
      <c r="A185" s="1">
        <v>45809</v>
      </c>
      <c r="B185" t="s">
        <v>37</v>
      </c>
      <c r="C185" t="s">
        <v>46</v>
      </c>
      <c r="D185" t="s">
        <v>18</v>
      </c>
      <c r="E185">
        <v>4427.72</v>
      </c>
    </row>
    <row r="186" spans="1:5" x14ac:dyDescent="0.3">
      <c r="A186" s="1">
        <v>45809</v>
      </c>
      <c r="B186" t="s">
        <v>37</v>
      </c>
      <c r="C186" t="s">
        <v>47</v>
      </c>
      <c r="D186" t="s">
        <v>15</v>
      </c>
      <c r="E186">
        <v>5766.29</v>
      </c>
    </row>
    <row r="187" spans="1:5" x14ac:dyDescent="0.3">
      <c r="A187" s="1">
        <v>45809</v>
      </c>
      <c r="B187" t="s">
        <v>37</v>
      </c>
      <c r="C187" t="s">
        <v>48</v>
      </c>
      <c r="D187" t="s">
        <v>15</v>
      </c>
      <c r="E187">
        <v>2339.3000000000002</v>
      </c>
    </row>
    <row r="188" spans="1:5" x14ac:dyDescent="0.3">
      <c r="A188" s="1">
        <v>45839</v>
      </c>
      <c r="B188" t="s">
        <v>5</v>
      </c>
      <c r="C188" t="s">
        <v>6</v>
      </c>
      <c r="D188" t="s">
        <v>7</v>
      </c>
      <c r="E188">
        <v>52222.83</v>
      </c>
    </row>
    <row r="189" spans="1:5" x14ac:dyDescent="0.3">
      <c r="A189" s="1">
        <v>45839</v>
      </c>
      <c r="B189" t="s">
        <v>5</v>
      </c>
      <c r="C189" t="s">
        <v>8</v>
      </c>
      <c r="D189" t="s">
        <v>7</v>
      </c>
      <c r="E189">
        <v>92807.21</v>
      </c>
    </row>
    <row r="190" spans="1:5" x14ac:dyDescent="0.3">
      <c r="A190" s="1">
        <v>45839</v>
      </c>
      <c r="B190" t="s">
        <v>5</v>
      </c>
      <c r="C190" t="s">
        <v>9</v>
      </c>
      <c r="D190" t="s">
        <v>7</v>
      </c>
      <c r="E190">
        <v>130236.41</v>
      </c>
    </row>
    <row r="191" spans="1:5" x14ac:dyDescent="0.3">
      <c r="A191" s="1">
        <v>45839</v>
      </c>
      <c r="B191" t="s">
        <v>5</v>
      </c>
      <c r="C191" t="s">
        <v>10</v>
      </c>
      <c r="D191" t="s">
        <v>11</v>
      </c>
      <c r="E191">
        <v>27424.47</v>
      </c>
    </row>
    <row r="192" spans="1:5" x14ac:dyDescent="0.3">
      <c r="A192" s="1">
        <v>45839</v>
      </c>
      <c r="B192" t="s">
        <v>5</v>
      </c>
      <c r="C192" t="s">
        <v>12</v>
      </c>
      <c r="D192" t="s">
        <v>11</v>
      </c>
      <c r="E192">
        <v>8540.0400000000009</v>
      </c>
    </row>
    <row r="193" spans="1:5" x14ac:dyDescent="0.3">
      <c r="A193" s="1">
        <v>45839</v>
      </c>
      <c r="B193" t="s">
        <v>13</v>
      </c>
      <c r="C193" t="s">
        <v>14</v>
      </c>
      <c r="D193" t="s">
        <v>15</v>
      </c>
      <c r="E193">
        <v>36213.699999999997</v>
      </c>
    </row>
    <row r="194" spans="1:5" x14ac:dyDescent="0.3">
      <c r="A194" s="1">
        <v>45839</v>
      </c>
      <c r="B194" t="s">
        <v>13</v>
      </c>
      <c r="C194" t="s">
        <v>16</v>
      </c>
      <c r="D194" t="s">
        <v>11</v>
      </c>
      <c r="E194">
        <v>27719.78</v>
      </c>
    </row>
    <row r="195" spans="1:5" x14ac:dyDescent="0.3">
      <c r="A195" s="1">
        <v>45839</v>
      </c>
      <c r="B195" t="s">
        <v>13</v>
      </c>
      <c r="C195" t="s">
        <v>17</v>
      </c>
      <c r="D195" t="s">
        <v>18</v>
      </c>
      <c r="E195">
        <v>9407.7199999999993</v>
      </c>
    </row>
    <row r="196" spans="1:5" x14ac:dyDescent="0.3">
      <c r="A196" s="1">
        <v>45839</v>
      </c>
      <c r="B196" t="s">
        <v>13</v>
      </c>
      <c r="C196" t="s">
        <v>19</v>
      </c>
      <c r="D196" t="s">
        <v>15</v>
      </c>
      <c r="E196">
        <v>5437.44</v>
      </c>
    </row>
    <row r="197" spans="1:5" x14ac:dyDescent="0.3">
      <c r="A197" s="1">
        <v>45839</v>
      </c>
      <c r="B197" t="s">
        <v>20</v>
      </c>
      <c r="C197" t="s">
        <v>21</v>
      </c>
      <c r="D197" t="s">
        <v>22</v>
      </c>
      <c r="E197">
        <v>46626.07</v>
      </c>
    </row>
    <row r="198" spans="1:5" x14ac:dyDescent="0.3">
      <c r="A198" s="1">
        <v>45839</v>
      </c>
      <c r="B198" t="s">
        <v>20</v>
      </c>
      <c r="C198" t="s">
        <v>23</v>
      </c>
      <c r="D198" t="s">
        <v>7</v>
      </c>
      <c r="E198">
        <v>65130.85</v>
      </c>
    </row>
    <row r="199" spans="1:5" x14ac:dyDescent="0.3">
      <c r="A199" s="1">
        <v>45839</v>
      </c>
      <c r="B199" t="s">
        <v>20</v>
      </c>
      <c r="C199" t="s">
        <v>24</v>
      </c>
      <c r="D199" t="s">
        <v>22</v>
      </c>
      <c r="E199">
        <v>34370.82</v>
      </c>
    </row>
    <row r="200" spans="1:5" x14ac:dyDescent="0.3">
      <c r="A200" s="1">
        <v>45839</v>
      </c>
      <c r="B200" t="s">
        <v>20</v>
      </c>
      <c r="C200" t="s">
        <v>25</v>
      </c>
      <c r="D200" t="s">
        <v>7</v>
      </c>
      <c r="E200">
        <v>27384.75</v>
      </c>
    </row>
    <row r="201" spans="1:5" x14ac:dyDescent="0.3">
      <c r="A201" s="1">
        <v>45839</v>
      </c>
      <c r="B201" t="s">
        <v>20</v>
      </c>
      <c r="C201" t="s">
        <v>26</v>
      </c>
      <c r="D201" t="s">
        <v>22</v>
      </c>
      <c r="E201">
        <v>8785.6200000000008</v>
      </c>
    </row>
    <row r="202" spans="1:5" x14ac:dyDescent="0.3">
      <c r="A202" s="1">
        <v>45839</v>
      </c>
      <c r="B202" t="s">
        <v>20</v>
      </c>
      <c r="C202" t="s">
        <v>27</v>
      </c>
      <c r="D202" t="s">
        <v>22</v>
      </c>
      <c r="E202">
        <v>3562.8</v>
      </c>
    </row>
    <row r="203" spans="1:5" x14ac:dyDescent="0.3">
      <c r="A203" s="1">
        <v>45839</v>
      </c>
      <c r="B203" t="s">
        <v>20</v>
      </c>
      <c r="C203" t="s">
        <v>28</v>
      </c>
      <c r="D203" t="s">
        <v>7</v>
      </c>
      <c r="E203">
        <v>4883.7299999999996</v>
      </c>
    </row>
    <row r="204" spans="1:5" x14ac:dyDescent="0.3">
      <c r="A204" s="1">
        <v>45839</v>
      </c>
      <c r="B204" t="s">
        <v>29</v>
      </c>
      <c r="C204" t="s">
        <v>30</v>
      </c>
      <c r="D204" t="s">
        <v>31</v>
      </c>
      <c r="E204">
        <v>96325.04</v>
      </c>
    </row>
    <row r="205" spans="1:5" x14ac:dyDescent="0.3">
      <c r="A205" s="1">
        <v>45839</v>
      </c>
      <c r="B205" t="s">
        <v>29</v>
      </c>
      <c r="C205" t="s">
        <v>32</v>
      </c>
      <c r="D205" t="s">
        <v>33</v>
      </c>
      <c r="E205">
        <v>39466.1</v>
      </c>
    </row>
    <row r="206" spans="1:5" x14ac:dyDescent="0.3">
      <c r="A206" s="1">
        <v>45839</v>
      </c>
      <c r="B206" t="s">
        <v>29</v>
      </c>
      <c r="C206" t="s">
        <v>34</v>
      </c>
      <c r="D206" t="s">
        <v>31</v>
      </c>
      <c r="E206">
        <v>11965.54</v>
      </c>
    </row>
    <row r="207" spans="1:5" x14ac:dyDescent="0.3">
      <c r="A207" s="1">
        <v>45839</v>
      </c>
      <c r="B207" t="s">
        <v>29</v>
      </c>
      <c r="C207" t="s">
        <v>35</v>
      </c>
      <c r="D207" t="s">
        <v>31</v>
      </c>
      <c r="E207">
        <v>7312.99</v>
      </c>
    </row>
    <row r="208" spans="1:5" x14ac:dyDescent="0.3">
      <c r="A208" s="1">
        <v>45839</v>
      </c>
      <c r="B208" t="s">
        <v>29</v>
      </c>
      <c r="C208" t="s">
        <v>36</v>
      </c>
      <c r="D208" t="s">
        <v>31</v>
      </c>
      <c r="E208">
        <v>6371.35</v>
      </c>
    </row>
    <row r="209" spans="1:5" x14ac:dyDescent="0.3">
      <c r="A209" s="1">
        <v>45839</v>
      </c>
      <c r="B209" t="s">
        <v>37</v>
      </c>
      <c r="C209" t="s">
        <v>38</v>
      </c>
      <c r="D209" t="s">
        <v>39</v>
      </c>
      <c r="E209">
        <v>54514.5</v>
      </c>
    </row>
    <row r="210" spans="1:5" x14ac:dyDescent="0.3">
      <c r="A210" s="1">
        <v>45839</v>
      </c>
      <c r="B210" t="s">
        <v>37</v>
      </c>
      <c r="C210" t="s">
        <v>40</v>
      </c>
      <c r="D210" t="s">
        <v>18</v>
      </c>
      <c r="E210">
        <v>24878.97</v>
      </c>
    </row>
    <row r="211" spans="1:5" x14ac:dyDescent="0.3">
      <c r="A211" s="1">
        <v>45839</v>
      </c>
      <c r="B211" t="s">
        <v>37</v>
      </c>
      <c r="C211" t="s">
        <v>41</v>
      </c>
      <c r="D211" t="s">
        <v>15</v>
      </c>
      <c r="E211">
        <v>30582.37</v>
      </c>
    </row>
    <row r="212" spans="1:5" x14ac:dyDescent="0.3">
      <c r="A212" s="1">
        <v>45839</v>
      </c>
      <c r="B212" t="s">
        <v>37</v>
      </c>
      <c r="C212" t="s">
        <v>42</v>
      </c>
      <c r="D212" t="s">
        <v>15</v>
      </c>
      <c r="E212">
        <v>17830.95</v>
      </c>
    </row>
    <row r="213" spans="1:5" x14ac:dyDescent="0.3">
      <c r="A213" s="1">
        <v>45839</v>
      </c>
      <c r="B213" t="s">
        <v>37</v>
      </c>
      <c r="C213" t="s">
        <v>43</v>
      </c>
      <c r="D213" t="s">
        <v>18</v>
      </c>
      <c r="E213">
        <v>10728.32</v>
      </c>
    </row>
    <row r="214" spans="1:5" x14ac:dyDescent="0.3">
      <c r="A214" s="1">
        <v>45839</v>
      </c>
      <c r="B214" t="s">
        <v>37</v>
      </c>
      <c r="C214" t="s">
        <v>44</v>
      </c>
      <c r="D214" t="s">
        <v>18</v>
      </c>
      <c r="E214">
        <v>7466.26</v>
      </c>
    </row>
    <row r="215" spans="1:5" x14ac:dyDescent="0.3">
      <c r="A215" s="1">
        <v>45839</v>
      </c>
      <c r="B215" t="s">
        <v>37</v>
      </c>
      <c r="C215" t="s">
        <v>45</v>
      </c>
      <c r="D215" t="s">
        <v>15</v>
      </c>
      <c r="E215">
        <v>10978.58</v>
      </c>
    </row>
    <row r="216" spans="1:5" x14ac:dyDescent="0.3">
      <c r="A216" s="1">
        <v>45839</v>
      </c>
      <c r="B216" t="s">
        <v>37</v>
      </c>
      <c r="C216" t="s">
        <v>46</v>
      </c>
      <c r="D216" t="s">
        <v>18</v>
      </c>
      <c r="E216">
        <v>4582.32</v>
      </c>
    </row>
    <row r="217" spans="1:5" x14ac:dyDescent="0.3">
      <c r="A217" s="1">
        <v>45839</v>
      </c>
      <c r="B217" t="s">
        <v>37</v>
      </c>
      <c r="C217" t="s">
        <v>47</v>
      </c>
      <c r="D217" t="s">
        <v>15</v>
      </c>
      <c r="E217">
        <v>7189.01</v>
      </c>
    </row>
    <row r="218" spans="1:5" x14ac:dyDescent="0.3">
      <c r="A218" s="1">
        <v>45839</v>
      </c>
      <c r="B218" t="s">
        <v>37</v>
      </c>
      <c r="C218" t="s">
        <v>48</v>
      </c>
      <c r="D218" t="s">
        <v>15</v>
      </c>
      <c r="E218">
        <v>2555.77</v>
      </c>
    </row>
    <row r="219" spans="1:5" x14ac:dyDescent="0.3">
      <c r="A219" s="1">
        <v>45870</v>
      </c>
      <c r="B219" t="s">
        <v>5</v>
      </c>
      <c r="C219" t="s">
        <v>6</v>
      </c>
      <c r="D219" t="s">
        <v>7</v>
      </c>
      <c r="E219">
        <v>52420.43</v>
      </c>
    </row>
    <row r="220" spans="1:5" x14ac:dyDescent="0.3">
      <c r="A220" s="1">
        <v>45870</v>
      </c>
      <c r="B220" t="s">
        <v>5</v>
      </c>
      <c r="C220" t="s">
        <v>8</v>
      </c>
      <c r="D220" t="s">
        <v>7</v>
      </c>
      <c r="E220">
        <v>93554.98</v>
      </c>
    </row>
    <row r="221" spans="1:5" x14ac:dyDescent="0.3">
      <c r="A221" s="1">
        <v>45870</v>
      </c>
      <c r="B221" t="s">
        <v>5</v>
      </c>
      <c r="C221" t="s">
        <v>9</v>
      </c>
      <c r="D221" t="s">
        <v>7</v>
      </c>
      <c r="E221">
        <v>134018.96</v>
      </c>
    </row>
    <row r="222" spans="1:5" x14ac:dyDescent="0.3">
      <c r="A222" s="1">
        <v>45870</v>
      </c>
      <c r="B222" t="s">
        <v>5</v>
      </c>
      <c r="C222" t="s">
        <v>10</v>
      </c>
      <c r="D222" t="s">
        <v>11</v>
      </c>
      <c r="E222">
        <v>33843.29</v>
      </c>
    </row>
    <row r="223" spans="1:5" x14ac:dyDescent="0.3">
      <c r="A223" s="1">
        <v>45870</v>
      </c>
      <c r="B223" t="s">
        <v>5</v>
      </c>
      <c r="C223" t="s">
        <v>12</v>
      </c>
      <c r="D223" t="s">
        <v>11</v>
      </c>
      <c r="E223">
        <v>9553.27</v>
      </c>
    </row>
    <row r="224" spans="1:5" x14ac:dyDescent="0.3">
      <c r="A224" s="1">
        <v>45870</v>
      </c>
      <c r="B224" t="s">
        <v>13</v>
      </c>
      <c r="C224" t="s">
        <v>14</v>
      </c>
      <c r="D224" t="s">
        <v>15</v>
      </c>
      <c r="E224">
        <v>40186.449999999997</v>
      </c>
    </row>
    <row r="225" spans="1:5" x14ac:dyDescent="0.3">
      <c r="A225" s="1">
        <v>45870</v>
      </c>
      <c r="B225" t="s">
        <v>13</v>
      </c>
      <c r="C225" t="s">
        <v>16</v>
      </c>
      <c r="D225" t="s">
        <v>11</v>
      </c>
      <c r="E225">
        <v>28277.73</v>
      </c>
    </row>
    <row r="226" spans="1:5" x14ac:dyDescent="0.3">
      <c r="A226" s="1">
        <v>45870</v>
      </c>
      <c r="B226" t="s">
        <v>13</v>
      </c>
      <c r="C226" t="s">
        <v>17</v>
      </c>
      <c r="D226" t="s">
        <v>18</v>
      </c>
      <c r="E226">
        <v>8963.0300000000007</v>
      </c>
    </row>
    <row r="227" spans="1:5" x14ac:dyDescent="0.3">
      <c r="A227" s="1">
        <v>45870</v>
      </c>
      <c r="B227" t="s">
        <v>13</v>
      </c>
      <c r="C227" t="s">
        <v>19</v>
      </c>
      <c r="D227" t="s">
        <v>15</v>
      </c>
      <c r="E227">
        <v>5592.6</v>
      </c>
    </row>
    <row r="228" spans="1:5" x14ac:dyDescent="0.3">
      <c r="A228" s="1">
        <v>45870</v>
      </c>
      <c r="B228" t="s">
        <v>20</v>
      </c>
      <c r="C228" t="s">
        <v>21</v>
      </c>
      <c r="D228" t="s">
        <v>22</v>
      </c>
      <c r="E228">
        <v>45012.83</v>
      </c>
    </row>
    <row r="229" spans="1:5" x14ac:dyDescent="0.3">
      <c r="A229" s="1">
        <v>45870</v>
      </c>
      <c r="B229" t="s">
        <v>20</v>
      </c>
      <c r="C229" t="s">
        <v>23</v>
      </c>
      <c r="D229" t="s">
        <v>7</v>
      </c>
      <c r="E229">
        <v>65917.070000000007</v>
      </c>
    </row>
    <row r="230" spans="1:5" x14ac:dyDescent="0.3">
      <c r="A230" s="1">
        <v>45870</v>
      </c>
      <c r="B230" t="s">
        <v>20</v>
      </c>
      <c r="C230" t="s">
        <v>24</v>
      </c>
      <c r="D230" t="s">
        <v>22</v>
      </c>
      <c r="E230">
        <v>34520.410000000003</v>
      </c>
    </row>
    <row r="231" spans="1:5" x14ac:dyDescent="0.3">
      <c r="A231" s="1">
        <v>45870</v>
      </c>
      <c r="B231" t="s">
        <v>20</v>
      </c>
      <c r="C231" t="s">
        <v>25</v>
      </c>
      <c r="D231" t="s">
        <v>7</v>
      </c>
      <c r="E231">
        <v>28255.46</v>
      </c>
    </row>
    <row r="232" spans="1:5" x14ac:dyDescent="0.3">
      <c r="A232" s="1">
        <v>45870</v>
      </c>
      <c r="B232" t="s">
        <v>20</v>
      </c>
      <c r="C232" t="s">
        <v>26</v>
      </c>
      <c r="D232" t="s">
        <v>22</v>
      </c>
      <c r="E232">
        <v>8143.09</v>
      </c>
    </row>
    <row r="233" spans="1:5" x14ac:dyDescent="0.3">
      <c r="A233" s="1">
        <v>45870</v>
      </c>
      <c r="B233" t="s">
        <v>20</v>
      </c>
      <c r="C233" t="s">
        <v>27</v>
      </c>
      <c r="D233" t="s">
        <v>22</v>
      </c>
      <c r="E233">
        <v>2622.99</v>
      </c>
    </row>
    <row r="234" spans="1:5" x14ac:dyDescent="0.3">
      <c r="A234" s="1">
        <v>45870</v>
      </c>
      <c r="B234" t="s">
        <v>20</v>
      </c>
      <c r="C234" t="s">
        <v>28</v>
      </c>
      <c r="D234" t="s">
        <v>7</v>
      </c>
      <c r="E234">
        <v>4585.53</v>
      </c>
    </row>
    <row r="235" spans="1:5" x14ac:dyDescent="0.3">
      <c r="A235" s="1">
        <v>45870</v>
      </c>
      <c r="B235" t="s">
        <v>29</v>
      </c>
      <c r="C235" t="s">
        <v>30</v>
      </c>
      <c r="D235" t="s">
        <v>31</v>
      </c>
      <c r="E235">
        <v>95665.81</v>
      </c>
    </row>
    <row r="236" spans="1:5" x14ac:dyDescent="0.3">
      <c r="A236" s="1">
        <v>45870</v>
      </c>
      <c r="B236" t="s">
        <v>29</v>
      </c>
      <c r="C236" t="s">
        <v>32</v>
      </c>
      <c r="D236" t="s">
        <v>33</v>
      </c>
      <c r="E236">
        <v>39576.33</v>
      </c>
    </row>
    <row r="237" spans="1:5" x14ac:dyDescent="0.3">
      <c r="A237" s="1">
        <v>45870</v>
      </c>
      <c r="B237" t="s">
        <v>29</v>
      </c>
      <c r="C237" t="s">
        <v>34</v>
      </c>
      <c r="D237" t="s">
        <v>31</v>
      </c>
      <c r="E237">
        <v>11087.73</v>
      </c>
    </row>
    <row r="238" spans="1:5" x14ac:dyDescent="0.3">
      <c r="A238" s="1">
        <v>45870</v>
      </c>
      <c r="B238" t="s">
        <v>29</v>
      </c>
      <c r="C238" t="s">
        <v>35</v>
      </c>
      <c r="D238" t="s">
        <v>31</v>
      </c>
      <c r="E238">
        <v>8936.69</v>
      </c>
    </row>
    <row r="239" spans="1:5" x14ac:dyDescent="0.3">
      <c r="A239" s="1">
        <v>45870</v>
      </c>
      <c r="B239" t="s">
        <v>29</v>
      </c>
      <c r="C239" t="s">
        <v>36</v>
      </c>
      <c r="D239" t="s">
        <v>31</v>
      </c>
      <c r="E239">
        <v>6170.08</v>
      </c>
    </row>
    <row r="240" spans="1:5" x14ac:dyDescent="0.3">
      <c r="A240" s="1">
        <v>45870</v>
      </c>
      <c r="B240" t="s">
        <v>37</v>
      </c>
      <c r="C240" t="s">
        <v>38</v>
      </c>
      <c r="D240" t="s">
        <v>39</v>
      </c>
      <c r="E240">
        <v>55103.97</v>
      </c>
    </row>
    <row r="241" spans="1:5" x14ac:dyDescent="0.3">
      <c r="A241" s="1">
        <v>45870</v>
      </c>
      <c r="B241" t="s">
        <v>37</v>
      </c>
      <c r="C241" t="s">
        <v>40</v>
      </c>
      <c r="D241" t="s">
        <v>18</v>
      </c>
      <c r="E241">
        <v>25119.38</v>
      </c>
    </row>
    <row r="242" spans="1:5" x14ac:dyDescent="0.3">
      <c r="A242" s="1">
        <v>45870</v>
      </c>
      <c r="B242" t="s">
        <v>37</v>
      </c>
      <c r="C242" t="s">
        <v>41</v>
      </c>
      <c r="D242" t="s">
        <v>15</v>
      </c>
      <c r="E242">
        <v>29903.07</v>
      </c>
    </row>
    <row r="243" spans="1:5" x14ac:dyDescent="0.3">
      <c r="A243" s="1">
        <v>45870</v>
      </c>
      <c r="B243" t="s">
        <v>37</v>
      </c>
      <c r="C243" t="s">
        <v>42</v>
      </c>
      <c r="D243" t="s">
        <v>15</v>
      </c>
      <c r="E243">
        <v>18060.240000000002</v>
      </c>
    </row>
    <row r="244" spans="1:5" x14ac:dyDescent="0.3">
      <c r="A244" s="1">
        <v>45870</v>
      </c>
      <c r="B244" t="s">
        <v>37</v>
      </c>
      <c r="C244" t="s">
        <v>43</v>
      </c>
      <c r="D244" t="s">
        <v>18</v>
      </c>
      <c r="E244">
        <v>45000</v>
      </c>
    </row>
    <row r="245" spans="1:5" x14ac:dyDescent="0.3">
      <c r="A245" s="1">
        <v>45870</v>
      </c>
      <c r="B245" t="s">
        <v>37</v>
      </c>
      <c r="C245" t="s">
        <v>44</v>
      </c>
      <c r="D245" t="s">
        <v>18</v>
      </c>
      <c r="E245">
        <v>7826.03</v>
      </c>
    </row>
    <row r="246" spans="1:5" x14ac:dyDescent="0.3">
      <c r="A246" s="1">
        <v>45870</v>
      </c>
      <c r="B246" t="s">
        <v>37</v>
      </c>
      <c r="C246" t="s">
        <v>45</v>
      </c>
      <c r="D246" t="s">
        <v>15</v>
      </c>
      <c r="E246">
        <v>10136.4</v>
      </c>
    </row>
    <row r="247" spans="1:5" x14ac:dyDescent="0.3">
      <c r="A247" s="1">
        <v>45870</v>
      </c>
      <c r="B247" t="s">
        <v>37</v>
      </c>
      <c r="C247" t="s">
        <v>46</v>
      </c>
      <c r="D247" t="s">
        <v>18</v>
      </c>
      <c r="E247">
        <v>4538.91</v>
      </c>
    </row>
    <row r="248" spans="1:5" x14ac:dyDescent="0.3">
      <c r="A248" s="1">
        <v>45870</v>
      </c>
      <c r="B248" t="s">
        <v>37</v>
      </c>
      <c r="C248" t="s">
        <v>47</v>
      </c>
      <c r="D248" t="s">
        <v>15</v>
      </c>
      <c r="E248">
        <v>5372.85</v>
      </c>
    </row>
    <row r="249" spans="1:5" x14ac:dyDescent="0.3">
      <c r="A249" s="1">
        <v>45870</v>
      </c>
      <c r="B249" t="s">
        <v>37</v>
      </c>
      <c r="C249" t="s">
        <v>48</v>
      </c>
      <c r="D249" t="s">
        <v>15</v>
      </c>
      <c r="E249">
        <v>2395.79</v>
      </c>
    </row>
    <row r="250" spans="1:5" x14ac:dyDescent="0.3">
      <c r="A250" s="1">
        <v>45901</v>
      </c>
      <c r="B250" t="s">
        <v>5</v>
      </c>
      <c r="C250" t="s">
        <v>6</v>
      </c>
      <c r="D250" t="s">
        <v>7</v>
      </c>
      <c r="E250">
        <v>53096.22</v>
      </c>
    </row>
    <row r="251" spans="1:5" x14ac:dyDescent="0.3">
      <c r="A251" s="1">
        <v>45901</v>
      </c>
      <c r="B251" t="s">
        <v>5</v>
      </c>
      <c r="C251" t="s">
        <v>8</v>
      </c>
      <c r="D251" t="s">
        <v>7</v>
      </c>
      <c r="E251">
        <v>96627.97</v>
      </c>
    </row>
    <row r="252" spans="1:5" x14ac:dyDescent="0.3">
      <c r="A252" s="1">
        <v>45901</v>
      </c>
      <c r="B252" t="s">
        <v>5</v>
      </c>
      <c r="C252" t="s">
        <v>9</v>
      </c>
      <c r="D252" t="s">
        <v>7</v>
      </c>
      <c r="E252">
        <v>136641.19</v>
      </c>
    </row>
    <row r="253" spans="1:5" x14ac:dyDescent="0.3">
      <c r="A253" s="1">
        <v>45901</v>
      </c>
      <c r="B253" t="s">
        <v>5</v>
      </c>
      <c r="C253" t="s">
        <v>10</v>
      </c>
      <c r="D253" t="s">
        <v>11</v>
      </c>
      <c r="E253">
        <v>31921.63</v>
      </c>
    </row>
    <row r="254" spans="1:5" x14ac:dyDescent="0.3">
      <c r="A254" s="1">
        <v>45901</v>
      </c>
      <c r="B254" t="s">
        <v>5</v>
      </c>
      <c r="C254" t="s">
        <v>12</v>
      </c>
      <c r="D254" t="s">
        <v>11</v>
      </c>
      <c r="E254">
        <v>6899.92</v>
      </c>
    </row>
    <row r="255" spans="1:5" x14ac:dyDescent="0.3">
      <c r="A255" s="1">
        <v>45901</v>
      </c>
      <c r="B255" t="s">
        <v>13</v>
      </c>
      <c r="C255" t="s">
        <v>14</v>
      </c>
      <c r="D255" t="s">
        <v>15</v>
      </c>
      <c r="E255">
        <v>39591.040000000001</v>
      </c>
    </row>
    <row r="256" spans="1:5" x14ac:dyDescent="0.3">
      <c r="A256" s="1">
        <v>45901</v>
      </c>
      <c r="B256" t="s">
        <v>13</v>
      </c>
      <c r="C256" t="s">
        <v>16</v>
      </c>
      <c r="D256" t="s">
        <v>11</v>
      </c>
      <c r="E256">
        <v>28558.27</v>
      </c>
    </row>
    <row r="257" spans="1:5" x14ac:dyDescent="0.3">
      <c r="A257" s="1">
        <v>45901</v>
      </c>
      <c r="B257" t="s">
        <v>13</v>
      </c>
      <c r="C257" t="s">
        <v>17</v>
      </c>
      <c r="D257" t="s">
        <v>18</v>
      </c>
      <c r="E257">
        <v>9898.26</v>
      </c>
    </row>
    <row r="258" spans="1:5" x14ac:dyDescent="0.3">
      <c r="A258" s="1">
        <v>45901</v>
      </c>
      <c r="B258" t="s">
        <v>13</v>
      </c>
      <c r="C258" t="s">
        <v>19</v>
      </c>
      <c r="D258" t="s">
        <v>15</v>
      </c>
      <c r="E258">
        <v>5030.59</v>
      </c>
    </row>
    <row r="259" spans="1:5" x14ac:dyDescent="0.3">
      <c r="A259" s="1">
        <v>45901</v>
      </c>
      <c r="B259" t="s">
        <v>20</v>
      </c>
      <c r="C259" t="s">
        <v>21</v>
      </c>
      <c r="D259" t="s">
        <v>22</v>
      </c>
      <c r="E259">
        <v>59007.41</v>
      </c>
    </row>
    <row r="260" spans="1:5" x14ac:dyDescent="0.3">
      <c r="A260" s="1">
        <v>45901</v>
      </c>
      <c r="B260" t="s">
        <v>20</v>
      </c>
      <c r="C260" t="s">
        <v>23</v>
      </c>
      <c r="D260" t="s">
        <v>7</v>
      </c>
      <c r="E260">
        <v>64389.52</v>
      </c>
    </row>
    <row r="261" spans="1:5" x14ac:dyDescent="0.3">
      <c r="A261" s="1">
        <v>45901</v>
      </c>
      <c r="B261" t="s">
        <v>20</v>
      </c>
      <c r="C261" t="s">
        <v>24</v>
      </c>
      <c r="D261" t="s">
        <v>22</v>
      </c>
      <c r="E261">
        <v>35606.559999999998</v>
      </c>
    </row>
    <row r="262" spans="1:5" x14ac:dyDescent="0.3">
      <c r="A262" s="1">
        <v>45901</v>
      </c>
      <c r="B262" t="s">
        <v>20</v>
      </c>
      <c r="C262" t="s">
        <v>25</v>
      </c>
      <c r="D262" t="s">
        <v>7</v>
      </c>
      <c r="E262">
        <v>27996.59</v>
      </c>
    </row>
    <row r="263" spans="1:5" x14ac:dyDescent="0.3">
      <c r="A263" s="1">
        <v>45901</v>
      </c>
      <c r="B263" t="s">
        <v>20</v>
      </c>
      <c r="C263" t="s">
        <v>26</v>
      </c>
      <c r="D263" t="s">
        <v>22</v>
      </c>
      <c r="E263">
        <v>8822.3799999999992</v>
      </c>
    </row>
    <row r="264" spans="1:5" x14ac:dyDescent="0.3">
      <c r="A264" s="1">
        <v>45901</v>
      </c>
      <c r="B264" t="s">
        <v>20</v>
      </c>
      <c r="C264" t="s">
        <v>27</v>
      </c>
      <c r="D264" t="s">
        <v>22</v>
      </c>
      <c r="E264">
        <v>2843.43</v>
      </c>
    </row>
    <row r="265" spans="1:5" x14ac:dyDescent="0.3">
      <c r="A265" s="1">
        <v>45901</v>
      </c>
      <c r="B265" t="s">
        <v>20</v>
      </c>
      <c r="C265" t="s">
        <v>28</v>
      </c>
      <c r="D265" t="s">
        <v>7</v>
      </c>
      <c r="E265">
        <v>4191.97</v>
      </c>
    </row>
    <row r="266" spans="1:5" x14ac:dyDescent="0.3">
      <c r="A266" s="1">
        <v>45901</v>
      </c>
      <c r="B266" t="s">
        <v>29</v>
      </c>
      <c r="C266" t="s">
        <v>30</v>
      </c>
      <c r="D266" t="s">
        <v>31</v>
      </c>
      <c r="E266">
        <v>96268.23</v>
      </c>
    </row>
    <row r="267" spans="1:5" x14ac:dyDescent="0.3">
      <c r="A267" s="1">
        <v>45901</v>
      </c>
      <c r="B267" t="s">
        <v>29</v>
      </c>
      <c r="C267" t="s">
        <v>32</v>
      </c>
      <c r="D267" t="s">
        <v>33</v>
      </c>
      <c r="E267">
        <v>40325.660000000003</v>
      </c>
    </row>
    <row r="268" spans="1:5" x14ac:dyDescent="0.3">
      <c r="A268" s="1">
        <v>45901</v>
      </c>
      <c r="B268" t="s">
        <v>29</v>
      </c>
      <c r="C268" t="s">
        <v>34</v>
      </c>
      <c r="D268" t="s">
        <v>31</v>
      </c>
      <c r="E268">
        <v>12268.03</v>
      </c>
    </row>
    <row r="269" spans="1:5" x14ac:dyDescent="0.3">
      <c r="A269" s="1">
        <v>45901</v>
      </c>
      <c r="B269" t="s">
        <v>29</v>
      </c>
      <c r="C269" t="s">
        <v>35</v>
      </c>
      <c r="D269" t="s">
        <v>31</v>
      </c>
      <c r="E269">
        <v>9169.36</v>
      </c>
    </row>
    <row r="270" spans="1:5" x14ac:dyDescent="0.3">
      <c r="A270" s="1">
        <v>45901</v>
      </c>
      <c r="B270" t="s">
        <v>29</v>
      </c>
      <c r="C270" t="s">
        <v>36</v>
      </c>
      <c r="D270" t="s">
        <v>31</v>
      </c>
      <c r="E270">
        <v>6700.17</v>
      </c>
    </row>
    <row r="271" spans="1:5" x14ac:dyDescent="0.3">
      <c r="A271" s="1">
        <v>45901</v>
      </c>
      <c r="B271" t="s">
        <v>37</v>
      </c>
      <c r="C271" t="s">
        <v>38</v>
      </c>
      <c r="D271" t="s">
        <v>39</v>
      </c>
      <c r="E271">
        <v>54458.61</v>
      </c>
    </row>
    <row r="272" spans="1:5" x14ac:dyDescent="0.3">
      <c r="A272" s="1">
        <v>45901</v>
      </c>
      <c r="B272" t="s">
        <v>37</v>
      </c>
      <c r="C272" t="s">
        <v>40</v>
      </c>
      <c r="D272" t="s">
        <v>18</v>
      </c>
      <c r="E272">
        <v>25317.1</v>
      </c>
    </row>
    <row r="273" spans="1:5" x14ac:dyDescent="0.3">
      <c r="A273" s="1">
        <v>45901</v>
      </c>
      <c r="B273" t="s">
        <v>37</v>
      </c>
      <c r="C273" t="s">
        <v>41</v>
      </c>
      <c r="D273" t="s">
        <v>15</v>
      </c>
      <c r="E273">
        <v>29759.25</v>
      </c>
    </row>
    <row r="274" spans="1:5" x14ac:dyDescent="0.3">
      <c r="A274" s="1">
        <v>45901</v>
      </c>
      <c r="B274" t="s">
        <v>37</v>
      </c>
      <c r="C274" t="s">
        <v>42</v>
      </c>
      <c r="D274" t="s">
        <v>15</v>
      </c>
      <c r="E274">
        <v>18117.64</v>
      </c>
    </row>
    <row r="275" spans="1:5" x14ac:dyDescent="0.3">
      <c r="A275" s="1">
        <v>45901</v>
      </c>
      <c r="B275" t="s">
        <v>37</v>
      </c>
      <c r="C275" t="s">
        <v>43</v>
      </c>
      <c r="D275" t="s">
        <v>18</v>
      </c>
      <c r="E275">
        <v>11425.19</v>
      </c>
    </row>
    <row r="276" spans="1:5" x14ac:dyDescent="0.3">
      <c r="A276" s="1">
        <v>45901</v>
      </c>
      <c r="B276" t="s">
        <v>37</v>
      </c>
      <c r="C276" t="s">
        <v>44</v>
      </c>
      <c r="D276" t="s">
        <v>18</v>
      </c>
      <c r="E276">
        <v>7225.72</v>
      </c>
    </row>
    <row r="277" spans="1:5" x14ac:dyDescent="0.3">
      <c r="A277" s="1">
        <v>45901</v>
      </c>
      <c r="B277" t="s">
        <v>37</v>
      </c>
      <c r="C277" t="s">
        <v>45</v>
      </c>
      <c r="D277" t="s">
        <v>15</v>
      </c>
      <c r="E277">
        <v>9794.4</v>
      </c>
    </row>
    <row r="278" spans="1:5" x14ac:dyDescent="0.3">
      <c r="A278" s="1">
        <v>45901</v>
      </c>
      <c r="B278" t="s">
        <v>37</v>
      </c>
      <c r="C278" t="s">
        <v>46</v>
      </c>
      <c r="D278" t="s">
        <v>18</v>
      </c>
      <c r="E278">
        <v>4429.2700000000004</v>
      </c>
    </row>
    <row r="279" spans="1:5" x14ac:dyDescent="0.3">
      <c r="A279" s="1">
        <v>45901</v>
      </c>
      <c r="B279" t="s">
        <v>37</v>
      </c>
      <c r="C279" t="s">
        <v>47</v>
      </c>
      <c r="D279" t="s">
        <v>15</v>
      </c>
      <c r="E279">
        <v>6127.74</v>
      </c>
    </row>
    <row r="280" spans="1:5" x14ac:dyDescent="0.3">
      <c r="A280" s="1">
        <v>45901</v>
      </c>
      <c r="B280" t="s">
        <v>37</v>
      </c>
      <c r="C280" t="s">
        <v>48</v>
      </c>
      <c r="D280" t="s">
        <v>15</v>
      </c>
      <c r="E280">
        <v>2272.35</v>
      </c>
    </row>
    <row r="281" spans="1:5" x14ac:dyDescent="0.3">
      <c r="A281" s="1">
        <v>45931</v>
      </c>
      <c r="B281" t="s">
        <v>5</v>
      </c>
      <c r="C281" t="s">
        <v>6</v>
      </c>
      <c r="D281" t="s">
        <v>7</v>
      </c>
      <c r="E281">
        <v>53656.65</v>
      </c>
    </row>
    <row r="282" spans="1:5" x14ac:dyDescent="0.3">
      <c r="A282" s="1">
        <v>45931</v>
      </c>
      <c r="B282" t="s">
        <v>5</v>
      </c>
      <c r="C282" t="s">
        <v>8</v>
      </c>
      <c r="D282" t="s">
        <v>7</v>
      </c>
      <c r="E282">
        <v>102482.65</v>
      </c>
    </row>
    <row r="283" spans="1:5" x14ac:dyDescent="0.3">
      <c r="A283" s="1">
        <v>45931</v>
      </c>
      <c r="B283" t="s">
        <v>5</v>
      </c>
      <c r="C283" t="s">
        <v>9</v>
      </c>
      <c r="D283" t="s">
        <v>7</v>
      </c>
      <c r="E283">
        <v>137402.94</v>
      </c>
    </row>
    <row r="284" spans="1:5" x14ac:dyDescent="0.3">
      <c r="A284" s="1">
        <v>45931</v>
      </c>
      <c r="B284" t="s">
        <v>5</v>
      </c>
      <c r="C284" t="s">
        <v>10</v>
      </c>
      <c r="D284" t="s">
        <v>11</v>
      </c>
      <c r="E284">
        <v>31084.01</v>
      </c>
    </row>
    <row r="285" spans="1:5" x14ac:dyDescent="0.3">
      <c r="A285" s="1">
        <v>45931</v>
      </c>
      <c r="B285" t="s">
        <v>5</v>
      </c>
      <c r="C285" t="s">
        <v>12</v>
      </c>
      <c r="D285" t="s">
        <v>11</v>
      </c>
      <c r="E285">
        <v>8103.2</v>
      </c>
    </row>
    <row r="286" spans="1:5" x14ac:dyDescent="0.3">
      <c r="A286" s="1">
        <v>45931</v>
      </c>
      <c r="B286" t="s">
        <v>13</v>
      </c>
      <c r="C286" t="s">
        <v>14</v>
      </c>
      <c r="D286" t="s">
        <v>15</v>
      </c>
      <c r="E286">
        <v>32311.25</v>
      </c>
    </row>
    <row r="287" spans="1:5" x14ac:dyDescent="0.3">
      <c r="A287" s="1">
        <v>45931</v>
      </c>
      <c r="B287" t="s">
        <v>13</v>
      </c>
      <c r="C287" t="s">
        <v>16</v>
      </c>
      <c r="D287" t="s">
        <v>11</v>
      </c>
      <c r="E287">
        <v>28453.98</v>
      </c>
    </row>
    <row r="288" spans="1:5" x14ac:dyDescent="0.3">
      <c r="A288" s="1">
        <v>45931</v>
      </c>
      <c r="B288" t="s">
        <v>13</v>
      </c>
      <c r="C288" t="s">
        <v>17</v>
      </c>
      <c r="D288" t="s">
        <v>18</v>
      </c>
      <c r="E288">
        <v>9983.11</v>
      </c>
    </row>
    <row r="289" spans="1:5" x14ac:dyDescent="0.3">
      <c r="A289" s="1">
        <v>45931</v>
      </c>
      <c r="B289" t="s">
        <v>13</v>
      </c>
      <c r="C289" t="s">
        <v>19</v>
      </c>
      <c r="D289" t="s">
        <v>15</v>
      </c>
      <c r="E289">
        <v>5051.53</v>
      </c>
    </row>
    <row r="290" spans="1:5" x14ac:dyDescent="0.3">
      <c r="A290" s="1">
        <v>45931</v>
      </c>
      <c r="B290" t="s">
        <v>20</v>
      </c>
      <c r="C290" t="s">
        <v>21</v>
      </c>
      <c r="D290" t="s">
        <v>22</v>
      </c>
      <c r="E290">
        <v>44656.09</v>
      </c>
    </row>
    <row r="291" spans="1:5" x14ac:dyDescent="0.3">
      <c r="A291" s="1">
        <v>45931</v>
      </c>
      <c r="B291" t="s">
        <v>20</v>
      </c>
      <c r="C291" t="s">
        <v>23</v>
      </c>
      <c r="D291" t="s">
        <v>7</v>
      </c>
      <c r="E291">
        <v>64419.37</v>
      </c>
    </row>
    <row r="292" spans="1:5" x14ac:dyDescent="0.3">
      <c r="A292" s="1">
        <v>45931</v>
      </c>
      <c r="B292" t="s">
        <v>20</v>
      </c>
      <c r="C292" t="s">
        <v>24</v>
      </c>
      <c r="D292" t="s">
        <v>22</v>
      </c>
      <c r="E292">
        <v>34304.959999999999</v>
      </c>
    </row>
    <row r="293" spans="1:5" x14ac:dyDescent="0.3">
      <c r="A293" s="1">
        <v>45931</v>
      </c>
      <c r="B293" t="s">
        <v>20</v>
      </c>
      <c r="C293" t="s">
        <v>25</v>
      </c>
      <c r="D293" t="s">
        <v>7</v>
      </c>
      <c r="E293">
        <v>28061.71</v>
      </c>
    </row>
    <row r="294" spans="1:5" x14ac:dyDescent="0.3">
      <c r="A294" s="1">
        <v>45931</v>
      </c>
      <c r="B294" t="s">
        <v>20</v>
      </c>
      <c r="C294" t="s">
        <v>26</v>
      </c>
      <c r="D294" t="s">
        <v>22</v>
      </c>
      <c r="E294">
        <v>8616.5499999999993</v>
      </c>
    </row>
    <row r="295" spans="1:5" x14ac:dyDescent="0.3">
      <c r="A295" s="1">
        <v>45931</v>
      </c>
      <c r="B295" t="s">
        <v>20</v>
      </c>
      <c r="C295" t="s">
        <v>27</v>
      </c>
      <c r="D295" t="s">
        <v>22</v>
      </c>
      <c r="E295">
        <v>10086.5</v>
      </c>
    </row>
    <row r="296" spans="1:5" x14ac:dyDescent="0.3">
      <c r="A296" s="1">
        <v>45931</v>
      </c>
      <c r="B296" t="s">
        <v>20</v>
      </c>
      <c r="C296" t="s">
        <v>28</v>
      </c>
      <c r="D296" t="s">
        <v>7</v>
      </c>
      <c r="E296">
        <v>4717.1099999999997</v>
      </c>
    </row>
    <row r="297" spans="1:5" x14ac:dyDescent="0.3">
      <c r="A297" s="1">
        <v>45931</v>
      </c>
      <c r="B297" t="s">
        <v>29</v>
      </c>
      <c r="C297" t="s">
        <v>30</v>
      </c>
      <c r="D297" t="s">
        <v>31</v>
      </c>
      <c r="E297">
        <v>95196.39</v>
      </c>
    </row>
    <row r="298" spans="1:5" x14ac:dyDescent="0.3">
      <c r="A298" s="1">
        <v>45931</v>
      </c>
      <c r="B298" t="s">
        <v>29</v>
      </c>
      <c r="C298" t="s">
        <v>32</v>
      </c>
      <c r="D298" t="s">
        <v>33</v>
      </c>
      <c r="E298">
        <v>39884.300000000003</v>
      </c>
    </row>
    <row r="299" spans="1:5" x14ac:dyDescent="0.3">
      <c r="A299" s="1">
        <v>45931</v>
      </c>
      <c r="B299" t="s">
        <v>29</v>
      </c>
      <c r="C299" t="s">
        <v>34</v>
      </c>
      <c r="D299" t="s">
        <v>31</v>
      </c>
      <c r="E299">
        <v>10823.21</v>
      </c>
    </row>
    <row r="300" spans="1:5" x14ac:dyDescent="0.3">
      <c r="A300" s="1">
        <v>45931</v>
      </c>
      <c r="B300" t="s">
        <v>29</v>
      </c>
      <c r="C300" t="s">
        <v>35</v>
      </c>
      <c r="D300" t="s">
        <v>31</v>
      </c>
      <c r="E300">
        <v>6980.59</v>
      </c>
    </row>
    <row r="301" spans="1:5" x14ac:dyDescent="0.3">
      <c r="A301" s="1">
        <v>45931</v>
      </c>
      <c r="B301" t="s">
        <v>29</v>
      </c>
      <c r="C301" t="s">
        <v>36</v>
      </c>
      <c r="D301" t="s">
        <v>31</v>
      </c>
      <c r="E301">
        <v>6998.04</v>
      </c>
    </row>
    <row r="302" spans="1:5" x14ac:dyDescent="0.3">
      <c r="A302" s="1">
        <v>45931</v>
      </c>
      <c r="B302" t="s">
        <v>37</v>
      </c>
      <c r="C302" t="s">
        <v>38</v>
      </c>
      <c r="D302" t="s">
        <v>39</v>
      </c>
      <c r="E302">
        <v>55444.32</v>
      </c>
    </row>
    <row r="303" spans="1:5" x14ac:dyDescent="0.3">
      <c r="A303" s="1">
        <v>45931</v>
      </c>
      <c r="B303" t="s">
        <v>37</v>
      </c>
      <c r="C303" t="s">
        <v>40</v>
      </c>
      <c r="D303" t="s">
        <v>18</v>
      </c>
      <c r="E303">
        <v>25045.59</v>
      </c>
    </row>
    <row r="304" spans="1:5" x14ac:dyDescent="0.3">
      <c r="A304" s="1">
        <v>45931</v>
      </c>
      <c r="B304" t="s">
        <v>37</v>
      </c>
      <c r="C304" t="s">
        <v>41</v>
      </c>
      <c r="D304" t="s">
        <v>15</v>
      </c>
      <c r="E304">
        <v>30401.51</v>
      </c>
    </row>
    <row r="305" spans="1:5" x14ac:dyDescent="0.3">
      <c r="A305" s="1">
        <v>45931</v>
      </c>
      <c r="B305" t="s">
        <v>37</v>
      </c>
      <c r="C305" t="s">
        <v>42</v>
      </c>
      <c r="D305" t="s">
        <v>15</v>
      </c>
      <c r="E305">
        <v>18059.41</v>
      </c>
    </row>
    <row r="306" spans="1:5" x14ac:dyDescent="0.3">
      <c r="A306" s="1">
        <v>45931</v>
      </c>
      <c r="B306" t="s">
        <v>37</v>
      </c>
      <c r="C306" t="s">
        <v>43</v>
      </c>
      <c r="D306" t="s">
        <v>18</v>
      </c>
      <c r="E306">
        <v>7866.42</v>
      </c>
    </row>
    <row r="307" spans="1:5" x14ac:dyDescent="0.3">
      <c r="A307" s="1">
        <v>45931</v>
      </c>
      <c r="B307" t="s">
        <v>37</v>
      </c>
      <c r="C307" t="s">
        <v>44</v>
      </c>
      <c r="D307" t="s">
        <v>18</v>
      </c>
      <c r="E307">
        <v>7220.58</v>
      </c>
    </row>
    <row r="308" spans="1:5" x14ac:dyDescent="0.3">
      <c r="A308" s="1">
        <v>45931</v>
      </c>
      <c r="B308" t="s">
        <v>37</v>
      </c>
      <c r="C308" t="s">
        <v>45</v>
      </c>
      <c r="D308" t="s">
        <v>15</v>
      </c>
      <c r="E308">
        <v>10536.79</v>
      </c>
    </row>
    <row r="309" spans="1:5" x14ac:dyDescent="0.3">
      <c r="A309" s="1">
        <v>45931</v>
      </c>
      <c r="B309" t="s">
        <v>37</v>
      </c>
      <c r="C309" t="s">
        <v>46</v>
      </c>
      <c r="D309" t="s">
        <v>18</v>
      </c>
      <c r="E309">
        <v>4571.82</v>
      </c>
    </row>
    <row r="310" spans="1:5" x14ac:dyDescent="0.3">
      <c r="A310" s="1">
        <v>45931</v>
      </c>
      <c r="B310" t="s">
        <v>37</v>
      </c>
      <c r="C310" t="s">
        <v>47</v>
      </c>
      <c r="D310" t="s">
        <v>15</v>
      </c>
      <c r="E310">
        <v>6710.69</v>
      </c>
    </row>
    <row r="311" spans="1:5" x14ac:dyDescent="0.3">
      <c r="A311" s="1">
        <v>45931</v>
      </c>
      <c r="B311" t="s">
        <v>37</v>
      </c>
      <c r="C311" t="s">
        <v>48</v>
      </c>
      <c r="D311" t="s">
        <v>15</v>
      </c>
      <c r="E311">
        <v>2860.7</v>
      </c>
    </row>
    <row r="312" spans="1:5" x14ac:dyDescent="0.3">
      <c r="A312" s="1">
        <v>45962</v>
      </c>
      <c r="B312" t="s">
        <v>5</v>
      </c>
      <c r="C312" t="s">
        <v>6</v>
      </c>
      <c r="D312" t="s">
        <v>7</v>
      </c>
      <c r="E312">
        <v>64577.32</v>
      </c>
    </row>
    <row r="313" spans="1:5" x14ac:dyDescent="0.3">
      <c r="A313" s="1">
        <v>45962</v>
      </c>
      <c r="B313" t="s">
        <v>5</v>
      </c>
      <c r="C313" t="s">
        <v>8</v>
      </c>
      <c r="D313" t="s">
        <v>7</v>
      </c>
      <c r="E313">
        <v>113899.2</v>
      </c>
    </row>
    <row r="314" spans="1:5" x14ac:dyDescent="0.3">
      <c r="A314" s="1">
        <v>45962</v>
      </c>
      <c r="B314" t="s">
        <v>5</v>
      </c>
      <c r="C314" t="s">
        <v>9</v>
      </c>
      <c r="D314" t="s">
        <v>7</v>
      </c>
      <c r="E314">
        <v>161452.21</v>
      </c>
    </row>
    <row r="315" spans="1:5" x14ac:dyDescent="0.3">
      <c r="A315" s="1">
        <v>45962</v>
      </c>
      <c r="B315" t="s">
        <v>5</v>
      </c>
      <c r="C315" t="s">
        <v>10</v>
      </c>
      <c r="D315" t="s">
        <v>11</v>
      </c>
      <c r="E315">
        <v>25233.52</v>
      </c>
    </row>
    <row r="316" spans="1:5" x14ac:dyDescent="0.3">
      <c r="A316" s="1">
        <v>45962</v>
      </c>
      <c r="B316" t="s">
        <v>5</v>
      </c>
      <c r="C316" t="s">
        <v>12</v>
      </c>
      <c r="D316" t="s">
        <v>11</v>
      </c>
      <c r="E316">
        <v>11213.47</v>
      </c>
    </row>
    <row r="317" spans="1:5" x14ac:dyDescent="0.3">
      <c r="A317" s="1">
        <v>45962</v>
      </c>
      <c r="B317" t="s">
        <v>13</v>
      </c>
      <c r="C317" t="s">
        <v>14</v>
      </c>
      <c r="D317" t="s">
        <v>15</v>
      </c>
      <c r="E317">
        <v>50631.58</v>
      </c>
    </row>
    <row r="318" spans="1:5" x14ac:dyDescent="0.3">
      <c r="A318" s="1">
        <v>45962</v>
      </c>
      <c r="B318" t="s">
        <v>13</v>
      </c>
      <c r="C318" t="s">
        <v>16</v>
      </c>
      <c r="D318" t="s">
        <v>11</v>
      </c>
      <c r="E318">
        <v>27895.14</v>
      </c>
    </row>
    <row r="319" spans="1:5" x14ac:dyDescent="0.3">
      <c r="A319" s="1">
        <v>45962</v>
      </c>
      <c r="B319" t="s">
        <v>13</v>
      </c>
      <c r="C319" t="s">
        <v>17</v>
      </c>
      <c r="D319" t="s">
        <v>18</v>
      </c>
      <c r="E319">
        <v>11046.6</v>
      </c>
    </row>
    <row r="320" spans="1:5" x14ac:dyDescent="0.3">
      <c r="A320" s="1">
        <v>45962</v>
      </c>
      <c r="B320" t="s">
        <v>13</v>
      </c>
      <c r="C320" t="s">
        <v>19</v>
      </c>
      <c r="D320" t="s">
        <v>15</v>
      </c>
      <c r="E320">
        <v>5120.01</v>
      </c>
    </row>
    <row r="321" spans="1:5" x14ac:dyDescent="0.3">
      <c r="A321" s="1">
        <v>45962</v>
      </c>
      <c r="B321" t="s">
        <v>20</v>
      </c>
      <c r="C321" t="s">
        <v>21</v>
      </c>
      <c r="D321" t="s">
        <v>22</v>
      </c>
      <c r="E321">
        <v>46934.46</v>
      </c>
    </row>
    <row r="322" spans="1:5" x14ac:dyDescent="0.3">
      <c r="A322" s="1">
        <v>45962</v>
      </c>
      <c r="B322" t="s">
        <v>20</v>
      </c>
      <c r="C322" t="s">
        <v>23</v>
      </c>
      <c r="D322" t="s">
        <v>7</v>
      </c>
      <c r="E322">
        <v>65947.97</v>
      </c>
    </row>
    <row r="323" spans="1:5" x14ac:dyDescent="0.3">
      <c r="A323" s="1">
        <v>45962</v>
      </c>
      <c r="B323" t="s">
        <v>20</v>
      </c>
      <c r="C323" t="s">
        <v>24</v>
      </c>
      <c r="D323" t="s">
        <v>22</v>
      </c>
      <c r="E323">
        <v>35666.69</v>
      </c>
    </row>
    <row r="324" spans="1:5" x14ac:dyDescent="0.3">
      <c r="A324" s="1">
        <v>45962</v>
      </c>
      <c r="B324" t="s">
        <v>20</v>
      </c>
      <c r="C324" t="s">
        <v>25</v>
      </c>
      <c r="D324" t="s">
        <v>7</v>
      </c>
      <c r="E324">
        <v>31981.53</v>
      </c>
    </row>
    <row r="325" spans="1:5" x14ac:dyDescent="0.3">
      <c r="A325" s="1">
        <v>45962</v>
      </c>
      <c r="B325" t="s">
        <v>20</v>
      </c>
      <c r="C325" t="s">
        <v>26</v>
      </c>
      <c r="D325" t="s">
        <v>22</v>
      </c>
      <c r="E325">
        <v>8824.2000000000007</v>
      </c>
    </row>
    <row r="326" spans="1:5" x14ac:dyDescent="0.3">
      <c r="A326" s="1">
        <v>45962</v>
      </c>
      <c r="B326" t="s">
        <v>20</v>
      </c>
      <c r="C326" t="s">
        <v>27</v>
      </c>
      <c r="D326" t="s">
        <v>22</v>
      </c>
      <c r="E326">
        <v>2429.7399999999998</v>
      </c>
    </row>
    <row r="327" spans="1:5" x14ac:dyDescent="0.3">
      <c r="A327" s="1">
        <v>45962</v>
      </c>
      <c r="B327" t="s">
        <v>20</v>
      </c>
      <c r="C327" t="s">
        <v>28</v>
      </c>
      <c r="D327" t="s">
        <v>7</v>
      </c>
      <c r="E327">
        <v>4712.91</v>
      </c>
    </row>
    <row r="328" spans="1:5" x14ac:dyDescent="0.3">
      <c r="A328" s="1">
        <v>45962</v>
      </c>
      <c r="B328" t="s">
        <v>29</v>
      </c>
      <c r="C328" t="s">
        <v>30</v>
      </c>
      <c r="D328" t="s">
        <v>31</v>
      </c>
      <c r="E328">
        <v>94362.3</v>
      </c>
    </row>
    <row r="329" spans="1:5" x14ac:dyDescent="0.3">
      <c r="A329" s="1">
        <v>45962</v>
      </c>
      <c r="B329" t="s">
        <v>29</v>
      </c>
      <c r="C329" t="s">
        <v>32</v>
      </c>
      <c r="D329" t="s">
        <v>33</v>
      </c>
      <c r="E329">
        <v>40689.31</v>
      </c>
    </row>
    <row r="330" spans="1:5" x14ac:dyDescent="0.3">
      <c r="A330" s="1">
        <v>45962</v>
      </c>
      <c r="B330" t="s">
        <v>29</v>
      </c>
      <c r="C330" t="s">
        <v>34</v>
      </c>
      <c r="D330" t="s">
        <v>31</v>
      </c>
      <c r="E330">
        <v>12725.36</v>
      </c>
    </row>
    <row r="331" spans="1:5" x14ac:dyDescent="0.3">
      <c r="A331" s="1">
        <v>45962</v>
      </c>
      <c r="B331" t="s">
        <v>29</v>
      </c>
      <c r="C331" t="s">
        <v>35</v>
      </c>
      <c r="D331" t="s">
        <v>31</v>
      </c>
      <c r="E331">
        <v>8873.75</v>
      </c>
    </row>
    <row r="332" spans="1:5" x14ac:dyDescent="0.3">
      <c r="A332" s="1">
        <v>45962</v>
      </c>
      <c r="B332" t="s">
        <v>29</v>
      </c>
      <c r="C332" t="s">
        <v>36</v>
      </c>
      <c r="D332" t="s">
        <v>31</v>
      </c>
      <c r="E332">
        <v>6903.97</v>
      </c>
    </row>
    <row r="333" spans="1:5" x14ac:dyDescent="0.3">
      <c r="A333" s="1">
        <v>45962</v>
      </c>
      <c r="B333" t="s">
        <v>37</v>
      </c>
      <c r="C333" t="s">
        <v>38</v>
      </c>
      <c r="D333" t="s">
        <v>39</v>
      </c>
      <c r="E333">
        <v>54743.49</v>
      </c>
    </row>
    <row r="334" spans="1:5" x14ac:dyDescent="0.3">
      <c r="A334" s="1">
        <v>45962</v>
      </c>
      <c r="B334" t="s">
        <v>37</v>
      </c>
      <c r="C334" t="s">
        <v>40</v>
      </c>
      <c r="D334" t="s">
        <v>18</v>
      </c>
      <c r="E334">
        <v>25287.37</v>
      </c>
    </row>
    <row r="335" spans="1:5" x14ac:dyDescent="0.3">
      <c r="A335" s="1">
        <v>45962</v>
      </c>
      <c r="B335" t="s">
        <v>37</v>
      </c>
      <c r="C335" t="s">
        <v>41</v>
      </c>
      <c r="D335" t="s">
        <v>15</v>
      </c>
      <c r="E335">
        <v>29529.71</v>
      </c>
    </row>
    <row r="336" spans="1:5" x14ac:dyDescent="0.3">
      <c r="A336" s="1">
        <v>45962</v>
      </c>
      <c r="B336" t="s">
        <v>37</v>
      </c>
      <c r="C336" t="s">
        <v>42</v>
      </c>
      <c r="D336" t="s">
        <v>15</v>
      </c>
      <c r="E336">
        <v>18267.96</v>
      </c>
    </row>
    <row r="337" spans="1:5" x14ac:dyDescent="0.3">
      <c r="A337" s="1">
        <v>45962</v>
      </c>
      <c r="B337" t="s">
        <v>37</v>
      </c>
      <c r="C337" t="s">
        <v>43</v>
      </c>
      <c r="D337" t="s">
        <v>18</v>
      </c>
      <c r="E337">
        <v>11063.67</v>
      </c>
    </row>
    <row r="338" spans="1:5" x14ac:dyDescent="0.3">
      <c r="A338" s="1">
        <v>45962</v>
      </c>
      <c r="B338" t="s">
        <v>37</v>
      </c>
      <c r="C338" t="s">
        <v>44</v>
      </c>
      <c r="D338" t="s">
        <v>18</v>
      </c>
      <c r="E338">
        <v>7291.83</v>
      </c>
    </row>
    <row r="339" spans="1:5" x14ac:dyDescent="0.3">
      <c r="A339" s="1">
        <v>45962</v>
      </c>
      <c r="B339" t="s">
        <v>37</v>
      </c>
      <c r="C339" t="s">
        <v>45</v>
      </c>
      <c r="D339" t="s">
        <v>15</v>
      </c>
      <c r="E339">
        <v>12493.86</v>
      </c>
    </row>
    <row r="340" spans="1:5" x14ac:dyDescent="0.3">
      <c r="A340" s="1">
        <v>45962</v>
      </c>
      <c r="B340" t="s">
        <v>37</v>
      </c>
      <c r="C340" t="s">
        <v>46</v>
      </c>
      <c r="D340" t="s">
        <v>18</v>
      </c>
      <c r="E340">
        <v>4492.8500000000004</v>
      </c>
    </row>
    <row r="341" spans="1:5" x14ac:dyDescent="0.3">
      <c r="A341" s="1">
        <v>45962</v>
      </c>
      <c r="B341" t="s">
        <v>37</v>
      </c>
      <c r="C341" t="s">
        <v>47</v>
      </c>
      <c r="D341" t="s">
        <v>15</v>
      </c>
      <c r="E341">
        <v>5532.46</v>
      </c>
    </row>
    <row r="342" spans="1:5" x14ac:dyDescent="0.3">
      <c r="A342" s="1">
        <v>45962</v>
      </c>
      <c r="B342" t="s">
        <v>37</v>
      </c>
      <c r="C342" t="s">
        <v>48</v>
      </c>
      <c r="D342" t="s">
        <v>15</v>
      </c>
      <c r="E342">
        <v>2795.35</v>
      </c>
    </row>
    <row r="343" spans="1:5" x14ac:dyDescent="0.3">
      <c r="A343" s="1">
        <v>45992</v>
      </c>
      <c r="B343" t="s">
        <v>5</v>
      </c>
      <c r="C343" t="s">
        <v>6</v>
      </c>
      <c r="D343" t="s">
        <v>7</v>
      </c>
      <c r="E343">
        <v>61415.17</v>
      </c>
    </row>
    <row r="344" spans="1:5" x14ac:dyDescent="0.3">
      <c r="A344" s="1">
        <v>45992</v>
      </c>
      <c r="B344" t="s">
        <v>5</v>
      </c>
      <c r="C344" t="s">
        <v>8</v>
      </c>
      <c r="D344" t="s">
        <v>7</v>
      </c>
      <c r="E344">
        <v>113574.46</v>
      </c>
    </row>
    <row r="345" spans="1:5" x14ac:dyDescent="0.3">
      <c r="A345" s="1">
        <v>45992</v>
      </c>
      <c r="B345" t="s">
        <v>5</v>
      </c>
      <c r="C345" t="s">
        <v>9</v>
      </c>
      <c r="D345" t="s">
        <v>7</v>
      </c>
      <c r="E345">
        <v>163193.53</v>
      </c>
    </row>
    <row r="346" spans="1:5" x14ac:dyDescent="0.3">
      <c r="A346" s="1">
        <v>45992</v>
      </c>
      <c r="B346" t="s">
        <v>5</v>
      </c>
      <c r="C346" t="s">
        <v>10</v>
      </c>
      <c r="D346" t="s">
        <v>11</v>
      </c>
      <c r="E346">
        <v>28404.799999999999</v>
      </c>
    </row>
    <row r="347" spans="1:5" x14ac:dyDescent="0.3">
      <c r="A347" s="1">
        <v>45992</v>
      </c>
      <c r="B347" t="s">
        <v>5</v>
      </c>
      <c r="C347" t="s">
        <v>12</v>
      </c>
      <c r="D347" t="s">
        <v>11</v>
      </c>
      <c r="E347">
        <v>11893.65</v>
      </c>
    </row>
    <row r="348" spans="1:5" x14ac:dyDescent="0.3">
      <c r="A348" s="1">
        <v>45992</v>
      </c>
      <c r="B348" t="s">
        <v>13</v>
      </c>
      <c r="C348" t="s">
        <v>14</v>
      </c>
      <c r="D348" t="s">
        <v>15</v>
      </c>
      <c r="E348">
        <v>51854.51</v>
      </c>
    </row>
    <row r="349" spans="1:5" x14ac:dyDescent="0.3">
      <c r="A349" s="1">
        <v>45992</v>
      </c>
      <c r="B349" t="s">
        <v>13</v>
      </c>
      <c r="C349" t="s">
        <v>16</v>
      </c>
      <c r="D349" t="s">
        <v>11</v>
      </c>
      <c r="E349">
        <v>27752.62</v>
      </c>
    </row>
    <row r="350" spans="1:5" x14ac:dyDescent="0.3">
      <c r="A350" s="1">
        <v>45992</v>
      </c>
      <c r="B350" t="s">
        <v>13</v>
      </c>
      <c r="C350" t="s">
        <v>17</v>
      </c>
      <c r="D350" t="s">
        <v>18</v>
      </c>
      <c r="E350">
        <v>11131.26</v>
      </c>
    </row>
    <row r="351" spans="1:5" x14ac:dyDescent="0.3">
      <c r="A351" s="1">
        <v>45992</v>
      </c>
      <c r="B351" t="s">
        <v>13</v>
      </c>
      <c r="C351" t="s">
        <v>19</v>
      </c>
      <c r="D351" t="s">
        <v>15</v>
      </c>
      <c r="E351">
        <v>5389.65</v>
      </c>
    </row>
    <row r="352" spans="1:5" x14ac:dyDescent="0.3">
      <c r="A352" s="1">
        <v>45992</v>
      </c>
      <c r="B352" t="s">
        <v>20</v>
      </c>
      <c r="C352" t="s">
        <v>21</v>
      </c>
      <c r="D352" t="s">
        <v>22</v>
      </c>
      <c r="E352">
        <v>47165.17</v>
      </c>
    </row>
    <row r="353" spans="1:5" x14ac:dyDescent="0.3">
      <c r="A353" s="1">
        <v>45992</v>
      </c>
      <c r="B353" t="s">
        <v>20</v>
      </c>
      <c r="C353" t="s">
        <v>23</v>
      </c>
      <c r="D353" t="s">
        <v>7</v>
      </c>
      <c r="E353">
        <v>65094.16</v>
      </c>
    </row>
    <row r="354" spans="1:5" x14ac:dyDescent="0.3">
      <c r="A354" s="1">
        <v>45992</v>
      </c>
      <c r="B354" t="s">
        <v>20</v>
      </c>
      <c r="C354" t="s">
        <v>24</v>
      </c>
      <c r="D354" t="s">
        <v>22</v>
      </c>
      <c r="E354">
        <v>35614.93</v>
      </c>
    </row>
    <row r="355" spans="1:5" x14ac:dyDescent="0.3">
      <c r="A355" s="1">
        <v>45992</v>
      </c>
      <c r="B355" t="s">
        <v>20</v>
      </c>
      <c r="C355" t="s">
        <v>25</v>
      </c>
      <c r="D355" t="s">
        <v>7</v>
      </c>
      <c r="E355">
        <v>27949.15</v>
      </c>
    </row>
    <row r="356" spans="1:5" x14ac:dyDescent="0.3">
      <c r="A356" s="1">
        <v>45992</v>
      </c>
      <c r="B356" t="s">
        <v>20</v>
      </c>
      <c r="C356" t="s">
        <v>26</v>
      </c>
      <c r="D356" t="s">
        <v>22</v>
      </c>
      <c r="E356">
        <v>8899.84</v>
      </c>
    </row>
    <row r="357" spans="1:5" x14ac:dyDescent="0.3">
      <c r="A357" s="1">
        <v>45992</v>
      </c>
      <c r="B357" t="s">
        <v>20</v>
      </c>
      <c r="C357" t="s">
        <v>27</v>
      </c>
      <c r="D357" t="s">
        <v>22</v>
      </c>
      <c r="E357">
        <v>2614.2800000000002</v>
      </c>
    </row>
    <row r="358" spans="1:5" x14ac:dyDescent="0.3">
      <c r="A358" s="1">
        <v>45992</v>
      </c>
      <c r="B358" t="s">
        <v>20</v>
      </c>
      <c r="C358" t="s">
        <v>28</v>
      </c>
      <c r="D358" t="s">
        <v>7</v>
      </c>
      <c r="E358">
        <v>4916.28</v>
      </c>
    </row>
    <row r="359" spans="1:5" x14ac:dyDescent="0.3">
      <c r="A359" s="1">
        <v>45992</v>
      </c>
      <c r="B359" t="s">
        <v>29</v>
      </c>
      <c r="C359" t="s">
        <v>30</v>
      </c>
      <c r="D359" t="s">
        <v>31</v>
      </c>
      <c r="E359">
        <v>94108.77</v>
      </c>
    </row>
    <row r="360" spans="1:5" x14ac:dyDescent="0.3">
      <c r="A360" s="1">
        <v>45992</v>
      </c>
      <c r="B360" t="s">
        <v>29</v>
      </c>
      <c r="C360" t="s">
        <v>32</v>
      </c>
      <c r="D360" t="s">
        <v>33</v>
      </c>
      <c r="E360">
        <v>39373.440000000002</v>
      </c>
    </row>
    <row r="361" spans="1:5" x14ac:dyDescent="0.3">
      <c r="A361" s="1">
        <v>45992</v>
      </c>
      <c r="B361" t="s">
        <v>29</v>
      </c>
      <c r="C361" t="s">
        <v>34</v>
      </c>
      <c r="D361" t="s">
        <v>31</v>
      </c>
      <c r="E361">
        <v>11842.95</v>
      </c>
    </row>
    <row r="362" spans="1:5" x14ac:dyDescent="0.3">
      <c r="A362" s="1">
        <v>45992</v>
      </c>
      <c r="B362" t="s">
        <v>29</v>
      </c>
      <c r="C362" t="s">
        <v>35</v>
      </c>
      <c r="D362" t="s">
        <v>31</v>
      </c>
      <c r="E362">
        <v>8548.51</v>
      </c>
    </row>
    <row r="363" spans="1:5" x14ac:dyDescent="0.3">
      <c r="A363" s="1">
        <v>45992</v>
      </c>
      <c r="B363" t="s">
        <v>29</v>
      </c>
      <c r="C363" t="s">
        <v>36</v>
      </c>
      <c r="D363" t="s">
        <v>31</v>
      </c>
      <c r="E363">
        <v>6257.78</v>
      </c>
    </row>
    <row r="364" spans="1:5" x14ac:dyDescent="0.3">
      <c r="A364" s="1">
        <v>45992</v>
      </c>
      <c r="B364" t="s">
        <v>37</v>
      </c>
      <c r="C364" t="s">
        <v>38</v>
      </c>
      <c r="D364" t="s">
        <v>39</v>
      </c>
      <c r="E364">
        <v>55116.83</v>
      </c>
    </row>
    <row r="365" spans="1:5" x14ac:dyDescent="0.3">
      <c r="A365" s="1">
        <v>45992</v>
      </c>
      <c r="B365" t="s">
        <v>37</v>
      </c>
      <c r="C365" t="s">
        <v>40</v>
      </c>
      <c r="D365" t="s">
        <v>18</v>
      </c>
      <c r="E365">
        <v>25011.42</v>
      </c>
    </row>
    <row r="366" spans="1:5" x14ac:dyDescent="0.3">
      <c r="A366" s="1">
        <v>45992</v>
      </c>
      <c r="B366" t="s">
        <v>37</v>
      </c>
      <c r="C366" t="s">
        <v>41</v>
      </c>
      <c r="D366" t="s">
        <v>15</v>
      </c>
      <c r="E366">
        <v>29862.23</v>
      </c>
    </row>
    <row r="367" spans="1:5" x14ac:dyDescent="0.3">
      <c r="A367" s="1">
        <v>45992</v>
      </c>
      <c r="B367" t="s">
        <v>37</v>
      </c>
      <c r="C367" t="s">
        <v>42</v>
      </c>
      <c r="D367" t="s">
        <v>15</v>
      </c>
      <c r="E367">
        <v>18055.14</v>
      </c>
    </row>
    <row r="368" spans="1:5" x14ac:dyDescent="0.3">
      <c r="A368" s="1">
        <v>45992</v>
      </c>
      <c r="B368" t="s">
        <v>37</v>
      </c>
      <c r="C368" t="s">
        <v>43</v>
      </c>
      <c r="D368" t="s">
        <v>18</v>
      </c>
      <c r="E368">
        <v>8346.25</v>
      </c>
    </row>
    <row r="369" spans="1:5" x14ac:dyDescent="0.3">
      <c r="A369" s="1">
        <v>45992</v>
      </c>
      <c r="B369" t="s">
        <v>37</v>
      </c>
      <c r="C369" t="s">
        <v>44</v>
      </c>
      <c r="D369" t="s">
        <v>18</v>
      </c>
      <c r="E369">
        <v>7656.59</v>
      </c>
    </row>
    <row r="370" spans="1:5" x14ac:dyDescent="0.3">
      <c r="A370" s="1">
        <v>45992</v>
      </c>
      <c r="B370" t="s">
        <v>37</v>
      </c>
      <c r="C370" t="s">
        <v>45</v>
      </c>
      <c r="D370" t="s">
        <v>15</v>
      </c>
      <c r="E370">
        <v>9356.51</v>
      </c>
    </row>
    <row r="371" spans="1:5" x14ac:dyDescent="0.3">
      <c r="A371" s="1">
        <v>45992</v>
      </c>
      <c r="B371" t="s">
        <v>37</v>
      </c>
      <c r="C371" t="s">
        <v>46</v>
      </c>
      <c r="D371" t="s">
        <v>18</v>
      </c>
      <c r="E371">
        <v>4576.6000000000004</v>
      </c>
    </row>
    <row r="372" spans="1:5" x14ac:dyDescent="0.3">
      <c r="A372" s="1">
        <v>45992</v>
      </c>
      <c r="B372" t="s">
        <v>37</v>
      </c>
      <c r="C372" t="s">
        <v>47</v>
      </c>
      <c r="D372" t="s">
        <v>15</v>
      </c>
      <c r="E372">
        <v>6092.28</v>
      </c>
    </row>
    <row r="373" spans="1:5" x14ac:dyDescent="0.3">
      <c r="A373" s="1">
        <v>45992</v>
      </c>
      <c r="B373" t="s">
        <v>37</v>
      </c>
      <c r="C373" t="s">
        <v>48</v>
      </c>
      <c r="D373" t="s">
        <v>15</v>
      </c>
      <c r="E373">
        <v>2719.43</v>
      </c>
    </row>
  </sheetData>
  <sheetProtection sheet="1" objects="1" scenarios="1"/>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3A626-9C18-4667-BD32-0B42901E1B7D}">
  <dimension ref="A1:E373"/>
  <sheetViews>
    <sheetView workbookViewId="0">
      <selection activeCell="E2" sqref="E2"/>
    </sheetView>
  </sheetViews>
  <sheetFormatPr defaultRowHeight="14.4" x14ac:dyDescent="0.3"/>
  <cols>
    <col min="1" max="1" width="10.33203125" bestFit="1" customWidth="1"/>
    <col min="2" max="2" width="21.88671875" bestFit="1" customWidth="1"/>
    <col min="3" max="3" width="30.44140625" bestFit="1" customWidth="1"/>
    <col min="4" max="4" width="15.6640625" bestFit="1" customWidth="1"/>
    <col min="5" max="5" width="17.21875" bestFit="1" customWidth="1"/>
  </cols>
  <sheetData>
    <row r="1" spans="1:5" x14ac:dyDescent="0.3">
      <c r="A1" t="s">
        <v>0</v>
      </c>
      <c r="B1" t="s">
        <v>1</v>
      </c>
      <c r="C1" t="s">
        <v>2</v>
      </c>
      <c r="D1" t="s">
        <v>3</v>
      </c>
      <c r="E1" t="s">
        <v>49</v>
      </c>
    </row>
    <row r="2" spans="1:5" x14ac:dyDescent="0.3">
      <c r="A2" s="1">
        <v>45658</v>
      </c>
      <c r="B2" t="s">
        <v>5</v>
      </c>
      <c r="C2" t="s">
        <v>6</v>
      </c>
      <c r="D2" t="s">
        <v>7</v>
      </c>
      <c r="E2">
        <v>43000</v>
      </c>
    </row>
    <row r="3" spans="1:5" x14ac:dyDescent="0.3">
      <c r="A3" s="1">
        <v>45658</v>
      </c>
      <c r="B3" t="s">
        <v>5</v>
      </c>
      <c r="C3" t="s">
        <v>8</v>
      </c>
      <c r="D3" t="s">
        <v>7</v>
      </c>
      <c r="E3">
        <v>82000</v>
      </c>
    </row>
    <row r="4" spans="1:5" x14ac:dyDescent="0.3">
      <c r="A4" s="1">
        <v>45658</v>
      </c>
      <c r="B4" t="s">
        <v>5</v>
      </c>
      <c r="C4" t="s">
        <v>9</v>
      </c>
      <c r="D4" t="s">
        <v>7</v>
      </c>
      <c r="E4">
        <v>115000</v>
      </c>
    </row>
    <row r="5" spans="1:5" x14ac:dyDescent="0.3">
      <c r="A5" s="1">
        <v>45658</v>
      </c>
      <c r="B5" t="s">
        <v>5</v>
      </c>
      <c r="C5" t="s">
        <v>10</v>
      </c>
      <c r="D5" t="s">
        <v>11</v>
      </c>
      <c r="E5">
        <v>24000</v>
      </c>
    </row>
    <row r="6" spans="1:5" x14ac:dyDescent="0.3">
      <c r="A6" s="1">
        <v>45658</v>
      </c>
      <c r="B6" t="s">
        <v>5</v>
      </c>
      <c r="C6" t="s">
        <v>12</v>
      </c>
      <c r="D6" t="s">
        <v>11</v>
      </c>
      <c r="E6">
        <v>7500</v>
      </c>
    </row>
    <row r="7" spans="1:5" x14ac:dyDescent="0.3">
      <c r="A7" s="1">
        <v>45658</v>
      </c>
      <c r="B7" t="s">
        <v>13</v>
      </c>
      <c r="C7" t="s">
        <v>14</v>
      </c>
      <c r="D7" t="s">
        <v>15</v>
      </c>
      <c r="E7">
        <v>30000</v>
      </c>
    </row>
    <row r="8" spans="1:5" x14ac:dyDescent="0.3">
      <c r="A8" s="1">
        <v>45658</v>
      </c>
      <c r="B8" t="s">
        <v>13</v>
      </c>
      <c r="C8" t="s">
        <v>16</v>
      </c>
      <c r="D8" t="s">
        <v>11</v>
      </c>
      <c r="E8">
        <v>28000</v>
      </c>
    </row>
    <row r="9" spans="1:5" x14ac:dyDescent="0.3">
      <c r="A9" s="1">
        <v>45658</v>
      </c>
      <c r="B9" t="s">
        <v>13</v>
      </c>
      <c r="C9" t="s">
        <v>17</v>
      </c>
      <c r="D9" t="s">
        <v>18</v>
      </c>
      <c r="E9">
        <v>7800</v>
      </c>
    </row>
    <row r="10" spans="1:5" x14ac:dyDescent="0.3">
      <c r="A10" s="1">
        <v>45658</v>
      </c>
      <c r="B10" t="s">
        <v>13</v>
      </c>
      <c r="C10" t="s">
        <v>19</v>
      </c>
      <c r="D10" t="s">
        <v>15</v>
      </c>
      <c r="E10">
        <v>5500</v>
      </c>
    </row>
    <row r="11" spans="1:5" x14ac:dyDescent="0.3">
      <c r="A11" s="1">
        <v>45658</v>
      </c>
      <c r="B11" t="s">
        <v>20</v>
      </c>
      <c r="C11" t="s">
        <v>21</v>
      </c>
      <c r="D11" t="s">
        <v>22</v>
      </c>
      <c r="E11">
        <v>40000</v>
      </c>
    </row>
    <row r="12" spans="1:5" x14ac:dyDescent="0.3">
      <c r="A12" s="1">
        <v>45658</v>
      </c>
      <c r="B12" t="s">
        <v>20</v>
      </c>
      <c r="C12" t="s">
        <v>23</v>
      </c>
      <c r="D12" t="s">
        <v>7</v>
      </c>
      <c r="E12">
        <v>65000</v>
      </c>
    </row>
    <row r="13" spans="1:5" x14ac:dyDescent="0.3">
      <c r="A13" s="1">
        <v>45658</v>
      </c>
      <c r="B13" t="s">
        <v>20</v>
      </c>
      <c r="C13" t="s">
        <v>24</v>
      </c>
      <c r="D13" t="s">
        <v>22</v>
      </c>
      <c r="E13">
        <v>35000</v>
      </c>
    </row>
    <row r="14" spans="1:5" x14ac:dyDescent="0.3">
      <c r="A14" s="1">
        <v>45658</v>
      </c>
      <c r="B14" t="s">
        <v>20</v>
      </c>
      <c r="C14" t="s">
        <v>25</v>
      </c>
      <c r="D14" t="s">
        <v>7</v>
      </c>
      <c r="E14">
        <v>21000</v>
      </c>
    </row>
    <row r="15" spans="1:5" x14ac:dyDescent="0.3">
      <c r="A15" s="1">
        <v>45658</v>
      </c>
      <c r="B15" t="s">
        <v>20</v>
      </c>
      <c r="C15" t="s">
        <v>26</v>
      </c>
      <c r="D15" t="s">
        <v>22</v>
      </c>
      <c r="E15">
        <v>8500</v>
      </c>
    </row>
    <row r="16" spans="1:5" x14ac:dyDescent="0.3">
      <c r="A16" s="1">
        <v>45658</v>
      </c>
      <c r="B16" t="s">
        <v>20</v>
      </c>
      <c r="C16" t="s">
        <v>27</v>
      </c>
      <c r="D16" t="s">
        <v>22</v>
      </c>
      <c r="E16">
        <v>10000</v>
      </c>
    </row>
    <row r="17" spans="1:5" x14ac:dyDescent="0.3">
      <c r="A17" s="1">
        <v>45658</v>
      </c>
      <c r="B17" t="s">
        <v>20</v>
      </c>
      <c r="C17" t="s">
        <v>28</v>
      </c>
      <c r="D17" t="s">
        <v>7</v>
      </c>
      <c r="E17">
        <v>4500</v>
      </c>
    </row>
    <row r="18" spans="1:5" x14ac:dyDescent="0.3">
      <c r="A18" s="1">
        <v>45658</v>
      </c>
      <c r="B18" t="s">
        <v>29</v>
      </c>
      <c r="C18" t="s">
        <v>30</v>
      </c>
      <c r="D18" t="s">
        <v>31</v>
      </c>
      <c r="E18">
        <v>95000</v>
      </c>
    </row>
    <row r="19" spans="1:5" x14ac:dyDescent="0.3">
      <c r="A19" s="1">
        <v>45658</v>
      </c>
      <c r="B19" t="s">
        <v>29</v>
      </c>
      <c r="C19" t="s">
        <v>32</v>
      </c>
      <c r="D19" t="s">
        <v>33</v>
      </c>
      <c r="E19">
        <v>40000</v>
      </c>
    </row>
    <row r="20" spans="1:5" x14ac:dyDescent="0.3">
      <c r="A20" s="1">
        <v>45658</v>
      </c>
      <c r="B20" t="s">
        <v>29</v>
      </c>
      <c r="C20" t="s">
        <v>34</v>
      </c>
      <c r="D20" t="s">
        <v>31</v>
      </c>
      <c r="E20">
        <v>12000</v>
      </c>
    </row>
    <row r="21" spans="1:5" x14ac:dyDescent="0.3">
      <c r="A21" s="1">
        <v>45658</v>
      </c>
      <c r="B21" t="s">
        <v>29</v>
      </c>
      <c r="C21" t="s">
        <v>35</v>
      </c>
      <c r="D21" t="s">
        <v>31</v>
      </c>
      <c r="E21">
        <v>8500</v>
      </c>
    </row>
    <row r="22" spans="1:5" x14ac:dyDescent="0.3">
      <c r="A22" s="1">
        <v>45658</v>
      </c>
      <c r="B22" t="s">
        <v>29</v>
      </c>
      <c r="C22" t="s">
        <v>36</v>
      </c>
      <c r="D22" t="s">
        <v>31</v>
      </c>
      <c r="E22">
        <v>6500</v>
      </c>
    </row>
    <row r="23" spans="1:5" x14ac:dyDescent="0.3">
      <c r="A23" s="1">
        <v>45658</v>
      </c>
      <c r="B23" t="s">
        <v>37</v>
      </c>
      <c r="C23" t="s">
        <v>38</v>
      </c>
      <c r="D23" t="s">
        <v>39</v>
      </c>
      <c r="E23">
        <v>55000</v>
      </c>
    </row>
    <row r="24" spans="1:5" x14ac:dyDescent="0.3">
      <c r="A24" s="1">
        <v>45658</v>
      </c>
      <c r="B24" t="s">
        <v>37</v>
      </c>
      <c r="C24" t="s">
        <v>40</v>
      </c>
      <c r="D24" t="s">
        <v>18</v>
      </c>
      <c r="E24">
        <v>25000</v>
      </c>
    </row>
    <row r="25" spans="1:5" x14ac:dyDescent="0.3">
      <c r="A25" s="1">
        <v>45658</v>
      </c>
      <c r="B25" t="s">
        <v>37</v>
      </c>
      <c r="C25" t="s">
        <v>41</v>
      </c>
      <c r="D25" t="s">
        <v>15</v>
      </c>
      <c r="E25">
        <v>30000</v>
      </c>
    </row>
    <row r="26" spans="1:5" x14ac:dyDescent="0.3">
      <c r="A26" s="1">
        <v>45658</v>
      </c>
      <c r="B26" t="s">
        <v>37</v>
      </c>
      <c r="C26" t="s">
        <v>42</v>
      </c>
      <c r="D26" t="s">
        <v>15</v>
      </c>
      <c r="E26">
        <v>18000</v>
      </c>
    </row>
    <row r="27" spans="1:5" x14ac:dyDescent="0.3">
      <c r="A27" s="1">
        <v>45658</v>
      </c>
      <c r="B27" t="s">
        <v>37</v>
      </c>
      <c r="C27" t="s">
        <v>43</v>
      </c>
      <c r="D27" t="s">
        <v>18</v>
      </c>
      <c r="E27">
        <v>8500</v>
      </c>
    </row>
    <row r="28" spans="1:5" x14ac:dyDescent="0.3">
      <c r="A28" s="1">
        <v>45658</v>
      </c>
      <c r="B28" t="s">
        <v>37</v>
      </c>
      <c r="C28" t="s">
        <v>44</v>
      </c>
      <c r="D28" t="s">
        <v>18</v>
      </c>
      <c r="E28">
        <v>7500</v>
      </c>
    </row>
    <row r="29" spans="1:5" x14ac:dyDescent="0.3">
      <c r="A29" s="1">
        <v>45658</v>
      </c>
      <c r="B29" t="s">
        <v>37</v>
      </c>
      <c r="C29" t="s">
        <v>45</v>
      </c>
      <c r="D29" t="s">
        <v>15</v>
      </c>
      <c r="E29">
        <v>10000</v>
      </c>
    </row>
    <row r="30" spans="1:5" x14ac:dyDescent="0.3">
      <c r="A30" s="1">
        <v>45658</v>
      </c>
      <c r="B30" t="s">
        <v>37</v>
      </c>
      <c r="C30" t="s">
        <v>46</v>
      </c>
      <c r="D30" t="s">
        <v>18</v>
      </c>
      <c r="E30">
        <v>4500</v>
      </c>
    </row>
    <row r="31" spans="1:5" x14ac:dyDescent="0.3">
      <c r="A31" s="1">
        <v>45658</v>
      </c>
      <c r="B31" t="s">
        <v>37</v>
      </c>
      <c r="C31" t="s">
        <v>47</v>
      </c>
      <c r="D31" t="s">
        <v>15</v>
      </c>
      <c r="E31">
        <v>6000</v>
      </c>
    </row>
    <row r="32" spans="1:5" x14ac:dyDescent="0.3">
      <c r="A32" s="1">
        <v>45658</v>
      </c>
      <c r="B32" t="s">
        <v>37</v>
      </c>
      <c r="C32" t="s">
        <v>48</v>
      </c>
      <c r="D32" t="s">
        <v>15</v>
      </c>
      <c r="E32">
        <v>2500</v>
      </c>
    </row>
    <row r="33" spans="1:5" x14ac:dyDescent="0.3">
      <c r="A33" s="1">
        <v>45689</v>
      </c>
      <c r="B33" t="s">
        <v>5</v>
      </c>
      <c r="C33" t="s">
        <v>6</v>
      </c>
      <c r="D33" t="s">
        <v>7</v>
      </c>
      <c r="E33">
        <v>43000</v>
      </c>
    </row>
    <row r="34" spans="1:5" x14ac:dyDescent="0.3">
      <c r="A34" s="1">
        <v>45689</v>
      </c>
      <c r="B34" t="s">
        <v>5</v>
      </c>
      <c r="C34" t="s">
        <v>8</v>
      </c>
      <c r="D34" t="s">
        <v>7</v>
      </c>
      <c r="E34">
        <v>82000</v>
      </c>
    </row>
    <row r="35" spans="1:5" x14ac:dyDescent="0.3">
      <c r="A35" s="1">
        <v>45689</v>
      </c>
      <c r="B35" t="s">
        <v>5</v>
      </c>
      <c r="C35" t="s">
        <v>9</v>
      </c>
      <c r="D35" t="s">
        <v>7</v>
      </c>
      <c r="E35">
        <v>115000</v>
      </c>
    </row>
    <row r="36" spans="1:5" x14ac:dyDescent="0.3">
      <c r="A36" s="1">
        <v>45689</v>
      </c>
      <c r="B36" t="s">
        <v>5</v>
      </c>
      <c r="C36" t="s">
        <v>10</v>
      </c>
      <c r="D36" t="s">
        <v>11</v>
      </c>
      <c r="E36">
        <v>24000</v>
      </c>
    </row>
    <row r="37" spans="1:5" x14ac:dyDescent="0.3">
      <c r="A37" s="1">
        <v>45689</v>
      </c>
      <c r="B37" t="s">
        <v>5</v>
      </c>
      <c r="C37" t="s">
        <v>12</v>
      </c>
      <c r="D37" t="s">
        <v>11</v>
      </c>
      <c r="E37">
        <v>7500</v>
      </c>
    </row>
    <row r="38" spans="1:5" x14ac:dyDescent="0.3">
      <c r="A38" s="1">
        <v>45689</v>
      </c>
      <c r="B38" t="s">
        <v>13</v>
      </c>
      <c r="C38" t="s">
        <v>14</v>
      </c>
      <c r="D38" t="s">
        <v>15</v>
      </c>
      <c r="E38">
        <v>30000</v>
      </c>
    </row>
    <row r="39" spans="1:5" x14ac:dyDescent="0.3">
      <c r="A39" s="1">
        <v>45689</v>
      </c>
      <c r="B39" t="s">
        <v>13</v>
      </c>
      <c r="C39" t="s">
        <v>16</v>
      </c>
      <c r="D39" t="s">
        <v>11</v>
      </c>
      <c r="E39">
        <v>28000</v>
      </c>
    </row>
    <row r="40" spans="1:5" x14ac:dyDescent="0.3">
      <c r="A40" s="1">
        <v>45689</v>
      </c>
      <c r="B40" t="s">
        <v>13</v>
      </c>
      <c r="C40" t="s">
        <v>17</v>
      </c>
      <c r="D40" t="s">
        <v>18</v>
      </c>
      <c r="E40">
        <v>7800</v>
      </c>
    </row>
    <row r="41" spans="1:5" x14ac:dyDescent="0.3">
      <c r="A41" s="1">
        <v>45689</v>
      </c>
      <c r="B41" t="s">
        <v>13</v>
      </c>
      <c r="C41" t="s">
        <v>19</v>
      </c>
      <c r="D41" t="s">
        <v>15</v>
      </c>
      <c r="E41">
        <v>5500</v>
      </c>
    </row>
    <row r="42" spans="1:5" x14ac:dyDescent="0.3">
      <c r="A42" s="1">
        <v>45689</v>
      </c>
      <c r="B42" t="s">
        <v>20</v>
      </c>
      <c r="C42" t="s">
        <v>21</v>
      </c>
      <c r="D42" t="s">
        <v>22</v>
      </c>
      <c r="E42">
        <v>40000</v>
      </c>
    </row>
    <row r="43" spans="1:5" x14ac:dyDescent="0.3">
      <c r="A43" s="1">
        <v>45689</v>
      </c>
      <c r="B43" t="s">
        <v>20</v>
      </c>
      <c r="C43" t="s">
        <v>23</v>
      </c>
      <c r="D43" t="s">
        <v>7</v>
      </c>
      <c r="E43">
        <v>65000</v>
      </c>
    </row>
    <row r="44" spans="1:5" x14ac:dyDescent="0.3">
      <c r="A44" s="1">
        <v>45689</v>
      </c>
      <c r="B44" t="s">
        <v>20</v>
      </c>
      <c r="C44" t="s">
        <v>24</v>
      </c>
      <c r="D44" t="s">
        <v>22</v>
      </c>
      <c r="E44">
        <v>35000</v>
      </c>
    </row>
    <row r="45" spans="1:5" x14ac:dyDescent="0.3">
      <c r="A45" s="1">
        <v>45689</v>
      </c>
      <c r="B45" t="s">
        <v>20</v>
      </c>
      <c r="C45" t="s">
        <v>25</v>
      </c>
      <c r="D45" t="s">
        <v>7</v>
      </c>
      <c r="E45">
        <v>21000</v>
      </c>
    </row>
    <row r="46" spans="1:5" x14ac:dyDescent="0.3">
      <c r="A46" s="1">
        <v>45689</v>
      </c>
      <c r="B46" t="s">
        <v>20</v>
      </c>
      <c r="C46" t="s">
        <v>26</v>
      </c>
      <c r="D46" t="s">
        <v>22</v>
      </c>
      <c r="E46">
        <v>8500</v>
      </c>
    </row>
    <row r="47" spans="1:5" x14ac:dyDescent="0.3">
      <c r="A47" s="1">
        <v>45689</v>
      </c>
      <c r="B47" t="s">
        <v>20</v>
      </c>
      <c r="C47" t="s">
        <v>27</v>
      </c>
      <c r="D47" t="s">
        <v>22</v>
      </c>
      <c r="E47">
        <v>10000</v>
      </c>
    </row>
    <row r="48" spans="1:5" x14ac:dyDescent="0.3">
      <c r="A48" s="1">
        <v>45689</v>
      </c>
      <c r="B48" t="s">
        <v>20</v>
      </c>
      <c r="C48" t="s">
        <v>28</v>
      </c>
      <c r="D48" t="s">
        <v>7</v>
      </c>
      <c r="E48">
        <v>4500</v>
      </c>
    </row>
    <row r="49" spans="1:5" x14ac:dyDescent="0.3">
      <c r="A49" s="1">
        <v>45689</v>
      </c>
      <c r="B49" t="s">
        <v>29</v>
      </c>
      <c r="C49" t="s">
        <v>30</v>
      </c>
      <c r="D49" t="s">
        <v>31</v>
      </c>
      <c r="E49">
        <v>95000</v>
      </c>
    </row>
    <row r="50" spans="1:5" x14ac:dyDescent="0.3">
      <c r="A50" s="1">
        <v>45689</v>
      </c>
      <c r="B50" t="s">
        <v>29</v>
      </c>
      <c r="C50" t="s">
        <v>32</v>
      </c>
      <c r="D50" t="s">
        <v>33</v>
      </c>
      <c r="E50">
        <v>40000</v>
      </c>
    </row>
    <row r="51" spans="1:5" x14ac:dyDescent="0.3">
      <c r="A51" s="1">
        <v>45689</v>
      </c>
      <c r="B51" t="s">
        <v>29</v>
      </c>
      <c r="C51" t="s">
        <v>34</v>
      </c>
      <c r="D51" t="s">
        <v>31</v>
      </c>
      <c r="E51">
        <v>12000</v>
      </c>
    </row>
    <row r="52" spans="1:5" x14ac:dyDescent="0.3">
      <c r="A52" s="1">
        <v>45689</v>
      </c>
      <c r="B52" t="s">
        <v>29</v>
      </c>
      <c r="C52" t="s">
        <v>35</v>
      </c>
      <c r="D52" t="s">
        <v>31</v>
      </c>
      <c r="E52">
        <v>8500</v>
      </c>
    </row>
    <row r="53" spans="1:5" x14ac:dyDescent="0.3">
      <c r="A53" s="1">
        <v>45689</v>
      </c>
      <c r="B53" t="s">
        <v>29</v>
      </c>
      <c r="C53" t="s">
        <v>36</v>
      </c>
      <c r="D53" t="s">
        <v>31</v>
      </c>
      <c r="E53">
        <v>6500</v>
      </c>
    </row>
    <row r="54" spans="1:5" x14ac:dyDescent="0.3">
      <c r="A54" s="1">
        <v>45689</v>
      </c>
      <c r="B54" t="s">
        <v>37</v>
      </c>
      <c r="C54" t="s">
        <v>38</v>
      </c>
      <c r="D54" t="s">
        <v>39</v>
      </c>
      <c r="E54">
        <v>55000</v>
      </c>
    </row>
    <row r="55" spans="1:5" x14ac:dyDescent="0.3">
      <c r="A55" s="1">
        <v>45689</v>
      </c>
      <c r="B55" t="s">
        <v>37</v>
      </c>
      <c r="C55" t="s">
        <v>40</v>
      </c>
      <c r="D55" t="s">
        <v>18</v>
      </c>
      <c r="E55">
        <v>25000</v>
      </c>
    </row>
    <row r="56" spans="1:5" x14ac:dyDescent="0.3">
      <c r="A56" s="1">
        <v>45689</v>
      </c>
      <c r="B56" t="s">
        <v>37</v>
      </c>
      <c r="C56" t="s">
        <v>41</v>
      </c>
      <c r="D56" t="s">
        <v>15</v>
      </c>
      <c r="E56">
        <v>30000</v>
      </c>
    </row>
    <row r="57" spans="1:5" x14ac:dyDescent="0.3">
      <c r="A57" s="1">
        <v>45689</v>
      </c>
      <c r="B57" t="s">
        <v>37</v>
      </c>
      <c r="C57" t="s">
        <v>42</v>
      </c>
      <c r="D57" t="s">
        <v>15</v>
      </c>
      <c r="E57">
        <v>18000</v>
      </c>
    </row>
    <row r="58" spans="1:5" x14ac:dyDescent="0.3">
      <c r="A58" s="1">
        <v>45689</v>
      </c>
      <c r="B58" t="s">
        <v>37</v>
      </c>
      <c r="C58" t="s">
        <v>43</v>
      </c>
      <c r="D58" t="s">
        <v>18</v>
      </c>
      <c r="E58">
        <v>8500</v>
      </c>
    </row>
    <row r="59" spans="1:5" x14ac:dyDescent="0.3">
      <c r="A59" s="1">
        <v>45689</v>
      </c>
      <c r="B59" t="s">
        <v>37</v>
      </c>
      <c r="C59" t="s">
        <v>44</v>
      </c>
      <c r="D59" t="s">
        <v>18</v>
      </c>
      <c r="E59">
        <v>7500</v>
      </c>
    </row>
    <row r="60" spans="1:5" x14ac:dyDescent="0.3">
      <c r="A60" s="1">
        <v>45689</v>
      </c>
      <c r="B60" t="s">
        <v>37</v>
      </c>
      <c r="C60" t="s">
        <v>45</v>
      </c>
      <c r="D60" t="s">
        <v>15</v>
      </c>
      <c r="E60">
        <v>10000</v>
      </c>
    </row>
    <row r="61" spans="1:5" x14ac:dyDescent="0.3">
      <c r="A61" s="1">
        <v>45689</v>
      </c>
      <c r="B61" t="s">
        <v>37</v>
      </c>
      <c r="C61" t="s">
        <v>46</v>
      </c>
      <c r="D61" t="s">
        <v>18</v>
      </c>
      <c r="E61">
        <v>4500</v>
      </c>
    </row>
    <row r="62" spans="1:5" x14ac:dyDescent="0.3">
      <c r="A62" s="1">
        <v>45689</v>
      </c>
      <c r="B62" t="s">
        <v>37</v>
      </c>
      <c r="C62" t="s">
        <v>47</v>
      </c>
      <c r="D62" t="s">
        <v>15</v>
      </c>
      <c r="E62">
        <v>6000</v>
      </c>
    </row>
    <row r="63" spans="1:5" x14ac:dyDescent="0.3">
      <c r="A63" s="1">
        <v>45689</v>
      </c>
      <c r="B63" t="s">
        <v>37</v>
      </c>
      <c r="C63" t="s">
        <v>48</v>
      </c>
      <c r="D63" t="s">
        <v>15</v>
      </c>
      <c r="E63">
        <v>2500</v>
      </c>
    </row>
    <row r="64" spans="1:5" x14ac:dyDescent="0.3">
      <c r="A64" s="1">
        <v>45717</v>
      </c>
      <c r="B64" t="s">
        <v>5</v>
      </c>
      <c r="C64" t="s">
        <v>6</v>
      </c>
      <c r="D64" t="s">
        <v>7</v>
      </c>
      <c r="E64">
        <v>43000</v>
      </c>
    </row>
    <row r="65" spans="1:5" x14ac:dyDescent="0.3">
      <c r="A65" s="1">
        <v>45717</v>
      </c>
      <c r="B65" t="s">
        <v>5</v>
      </c>
      <c r="C65" t="s">
        <v>8</v>
      </c>
      <c r="D65" t="s">
        <v>7</v>
      </c>
      <c r="E65">
        <v>82000</v>
      </c>
    </row>
    <row r="66" spans="1:5" x14ac:dyDescent="0.3">
      <c r="A66" s="1">
        <v>45717</v>
      </c>
      <c r="B66" t="s">
        <v>5</v>
      </c>
      <c r="C66" t="s">
        <v>9</v>
      </c>
      <c r="D66" t="s">
        <v>7</v>
      </c>
      <c r="E66">
        <v>115000</v>
      </c>
    </row>
    <row r="67" spans="1:5" x14ac:dyDescent="0.3">
      <c r="A67" s="1">
        <v>45717</v>
      </c>
      <c r="B67" t="s">
        <v>5</v>
      </c>
      <c r="C67" t="s">
        <v>10</v>
      </c>
      <c r="D67" t="s">
        <v>11</v>
      </c>
      <c r="E67">
        <v>24000</v>
      </c>
    </row>
    <row r="68" spans="1:5" x14ac:dyDescent="0.3">
      <c r="A68" s="1">
        <v>45717</v>
      </c>
      <c r="B68" t="s">
        <v>5</v>
      </c>
      <c r="C68" t="s">
        <v>12</v>
      </c>
      <c r="D68" t="s">
        <v>11</v>
      </c>
      <c r="E68">
        <v>7500</v>
      </c>
    </row>
    <row r="69" spans="1:5" x14ac:dyDescent="0.3">
      <c r="A69" s="1">
        <v>45717</v>
      </c>
      <c r="B69" t="s">
        <v>13</v>
      </c>
      <c r="C69" t="s">
        <v>14</v>
      </c>
      <c r="D69" t="s">
        <v>15</v>
      </c>
      <c r="E69">
        <v>30000</v>
      </c>
    </row>
    <row r="70" spans="1:5" x14ac:dyDescent="0.3">
      <c r="A70" s="1">
        <v>45717</v>
      </c>
      <c r="B70" t="s">
        <v>13</v>
      </c>
      <c r="C70" t="s">
        <v>16</v>
      </c>
      <c r="D70" t="s">
        <v>11</v>
      </c>
      <c r="E70">
        <v>28000</v>
      </c>
    </row>
    <row r="71" spans="1:5" x14ac:dyDescent="0.3">
      <c r="A71" s="1">
        <v>45717</v>
      </c>
      <c r="B71" t="s">
        <v>13</v>
      </c>
      <c r="C71" t="s">
        <v>17</v>
      </c>
      <c r="D71" t="s">
        <v>18</v>
      </c>
      <c r="E71">
        <v>7800</v>
      </c>
    </row>
    <row r="72" spans="1:5" x14ac:dyDescent="0.3">
      <c r="A72" s="1">
        <v>45717</v>
      </c>
      <c r="B72" t="s">
        <v>13</v>
      </c>
      <c r="C72" t="s">
        <v>19</v>
      </c>
      <c r="D72" t="s">
        <v>15</v>
      </c>
      <c r="E72">
        <v>5500</v>
      </c>
    </row>
    <row r="73" spans="1:5" x14ac:dyDescent="0.3">
      <c r="A73" s="1">
        <v>45717</v>
      </c>
      <c r="B73" t="s">
        <v>20</v>
      </c>
      <c r="C73" t="s">
        <v>21</v>
      </c>
      <c r="D73" t="s">
        <v>22</v>
      </c>
      <c r="E73">
        <v>40000</v>
      </c>
    </row>
    <row r="74" spans="1:5" x14ac:dyDescent="0.3">
      <c r="A74" s="1">
        <v>45717</v>
      </c>
      <c r="B74" t="s">
        <v>20</v>
      </c>
      <c r="C74" t="s">
        <v>23</v>
      </c>
      <c r="D74" t="s">
        <v>7</v>
      </c>
      <c r="E74">
        <v>65000</v>
      </c>
    </row>
    <row r="75" spans="1:5" x14ac:dyDescent="0.3">
      <c r="A75" s="1">
        <v>45717</v>
      </c>
      <c r="B75" t="s">
        <v>20</v>
      </c>
      <c r="C75" t="s">
        <v>24</v>
      </c>
      <c r="D75" t="s">
        <v>22</v>
      </c>
      <c r="E75">
        <v>35000</v>
      </c>
    </row>
    <row r="76" spans="1:5" x14ac:dyDescent="0.3">
      <c r="A76" s="1">
        <v>45717</v>
      </c>
      <c r="B76" t="s">
        <v>20</v>
      </c>
      <c r="C76" t="s">
        <v>25</v>
      </c>
      <c r="D76" t="s">
        <v>7</v>
      </c>
      <c r="E76">
        <v>21000</v>
      </c>
    </row>
    <row r="77" spans="1:5" x14ac:dyDescent="0.3">
      <c r="A77" s="1">
        <v>45717</v>
      </c>
      <c r="B77" t="s">
        <v>20</v>
      </c>
      <c r="C77" t="s">
        <v>26</v>
      </c>
      <c r="D77" t="s">
        <v>22</v>
      </c>
      <c r="E77">
        <v>8500</v>
      </c>
    </row>
    <row r="78" spans="1:5" x14ac:dyDescent="0.3">
      <c r="A78" s="1">
        <v>45717</v>
      </c>
      <c r="B78" t="s">
        <v>20</v>
      </c>
      <c r="C78" t="s">
        <v>27</v>
      </c>
      <c r="D78" t="s">
        <v>22</v>
      </c>
      <c r="E78">
        <v>10000</v>
      </c>
    </row>
    <row r="79" spans="1:5" x14ac:dyDescent="0.3">
      <c r="A79" s="1">
        <v>45717</v>
      </c>
      <c r="B79" t="s">
        <v>20</v>
      </c>
      <c r="C79" t="s">
        <v>28</v>
      </c>
      <c r="D79" t="s">
        <v>7</v>
      </c>
      <c r="E79">
        <v>4500</v>
      </c>
    </row>
    <row r="80" spans="1:5" x14ac:dyDescent="0.3">
      <c r="A80" s="1">
        <v>45717</v>
      </c>
      <c r="B80" t="s">
        <v>29</v>
      </c>
      <c r="C80" t="s">
        <v>30</v>
      </c>
      <c r="D80" t="s">
        <v>31</v>
      </c>
      <c r="E80">
        <v>95000</v>
      </c>
    </row>
    <row r="81" spans="1:5" x14ac:dyDescent="0.3">
      <c r="A81" s="1">
        <v>45717</v>
      </c>
      <c r="B81" t="s">
        <v>29</v>
      </c>
      <c r="C81" t="s">
        <v>32</v>
      </c>
      <c r="D81" t="s">
        <v>33</v>
      </c>
      <c r="E81">
        <v>40000</v>
      </c>
    </row>
    <row r="82" spans="1:5" x14ac:dyDescent="0.3">
      <c r="A82" s="1">
        <v>45717</v>
      </c>
      <c r="B82" t="s">
        <v>29</v>
      </c>
      <c r="C82" t="s">
        <v>34</v>
      </c>
      <c r="D82" t="s">
        <v>31</v>
      </c>
      <c r="E82">
        <v>12000</v>
      </c>
    </row>
    <row r="83" spans="1:5" x14ac:dyDescent="0.3">
      <c r="A83" s="1">
        <v>45717</v>
      </c>
      <c r="B83" t="s">
        <v>29</v>
      </c>
      <c r="C83" t="s">
        <v>35</v>
      </c>
      <c r="D83" t="s">
        <v>31</v>
      </c>
      <c r="E83">
        <v>8500</v>
      </c>
    </row>
    <row r="84" spans="1:5" x14ac:dyDescent="0.3">
      <c r="A84" s="1">
        <v>45717</v>
      </c>
      <c r="B84" t="s">
        <v>29</v>
      </c>
      <c r="C84" t="s">
        <v>36</v>
      </c>
      <c r="D84" t="s">
        <v>31</v>
      </c>
      <c r="E84">
        <v>6500</v>
      </c>
    </row>
    <row r="85" spans="1:5" x14ac:dyDescent="0.3">
      <c r="A85" s="1">
        <v>45717</v>
      </c>
      <c r="B85" t="s">
        <v>37</v>
      </c>
      <c r="C85" t="s">
        <v>38</v>
      </c>
      <c r="D85" t="s">
        <v>39</v>
      </c>
      <c r="E85">
        <v>55000</v>
      </c>
    </row>
    <row r="86" spans="1:5" x14ac:dyDescent="0.3">
      <c r="A86" s="1">
        <v>45717</v>
      </c>
      <c r="B86" t="s">
        <v>37</v>
      </c>
      <c r="C86" t="s">
        <v>40</v>
      </c>
      <c r="D86" t="s">
        <v>18</v>
      </c>
      <c r="E86">
        <v>25000</v>
      </c>
    </row>
    <row r="87" spans="1:5" x14ac:dyDescent="0.3">
      <c r="A87" s="1">
        <v>45717</v>
      </c>
      <c r="B87" t="s">
        <v>37</v>
      </c>
      <c r="C87" t="s">
        <v>41</v>
      </c>
      <c r="D87" t="s">
        <v>15</v>
      </c>
      <c r="E87">
        <v>30000</v>
      </c>
    </row>
    <row r="88" spans="1:5" x14ac:dyDescent="0.3">
      <c r="A88" s="1">
        <v>45717</v>
      </c>
      <c r="B88" t="s">
        <v>37</v>
      </c>
      <c r="C88" t="s">
        <v>42</v>
      </c>
      <c r="D88" t="s">
        <v>15</v>
      </c>
      <c r="E88">
        <v>18000</v>
      </c>
    </row>
    <row r="89" spans="1:5" x14ac:dyDescent="0.3">
      <c r="A89" s="1">
        <v>45717</v>
      </c>
      <c r="B89" t="s">
        <v>37</v>
      </c>
      <c r="C89" t="s">
        <v>43</v>
      </c>
      <c r="D89" t="s">
        <v>18</v>
      </c>
      <c r="E89">
        <v>8500</v>
      </c>
    </row>
    <row r="90" spans="1:5" x14ac:dyDescent="0.3">
      <c r="A90" s="1">
        <v>45717</v>
      </c>
      <c r="B90" t="s">
        <v>37</v>
      </c>
      <c r="C90" t="s">
        <v>44</v>
      </c>
      <c r="D90" t="s">
        <v>18</v>
      </c>
      <c r="E90">
        <v>7500</v>
      </c>
    </row>
    <row r="91" spans="1:5" x14ac:dyDescent="0.3">
      <c r="A91" s="1">
        <v>45717</v>
      </c>
      <c r="B91" t="s">
        <v>37</v>
      </c>
      <c r="C91" t="s">
        <v>45</v>
      </c>
      <c r="D91" t="s">
        <v>15</v>
      </c>
      <c r="E91">
        <v>10000</v>
      </c>
    </row>
    <row r="92" spans="1:5" x14ac:dyDescent="0.3">
      <c r="A92" s="1">
        <v>45717</v>
      </c>
      <c r="B92" t="s">
        <v>37</v>
      </c>
      <c r="C92" t="s">
        <v>46</v>
      </c>
      <c r="D92" t="s">
        <v>18</v>
      </c>
      <c r="E92">
        <v>4500</v>
      </c>
    </row>
    <row r="93" spans="1:5" x14ac:dyDescent="0.3">
      <c r="A93" s="1">
        <v>45717</v>
      </c>
      <c r="B93" t="s">
        <v>37</v>
      </c>
      <c r="C93" t="s">
        <v>47</v>
      </c>
      <c r="D93" t="s">
        <v>15</v>
      </c>
      <c r="E93">
        <v>6000</v>
      </c>
    </row>
    <row r="94" spans="1:5" x14ac:dyDescent="0.3">
      <c r="A94" s="1">
        <v>45717</v>
      </c>
      <c r="B94" t="s">
        <v>37</v>
      </c>
      <c r="C94" t="s">
        <v>48</v>
      </c>
      <c r="D94" t="s">
        <v>15</v>
      </c>
      <c r="E94">
        <v>2500</v>
      </c>
    </row>
    <row r="95" spans="1:5" x14ac:dyDescent="0.3">
      <c r="A95" s="1">
        <v>45748</v>
      </c>
      <c r="B95" t="s">
        <v>5</v>
      </c>
      <c r="C95" t="s">
        <v>6</v>
      </c>
      <c r="D95" t="s">
        <v>7</v>
      </c>
      <c r="E95">
        <v>43000</v>
      </c>
    </row>
    <row r="96" spans="1:5" x14ac:dyDescent="0.3">
      <c r="A96" s="1">
        <v>45748</v>
      </c>
      <c r="B96" t="s">
        <v>5</v>
      </c>
      <c r="C96" t="s">
        <v>8</v>
      </c>
      <c r="D96" t="s">
        <v>7</v>
      </c>
      <c r="E96">
        <v>82000</v>
      </c>
    </row>
    <row r="97" spans="1:5" x14ac:dyDescent="0.3">
      <c r="A97" s="1">
        <v>45748</v>
      </c>
      <c r="B97" t="s">
        <v>5</v>
      </c>
      <c r="C97" t="s">
        <v>9</v>
      </c>
      <c r="D97" t="s">
        <v>7</v>
      </c>
      <c r="E97">
        <v>115000</v>
      </c>
    </row>
    <row r="98" spans="1:5" x14ac:dyDescent="0.3">
      <c r="A98" s="1">
        <v>45748</v>
      </c>
      <c r="B98" t="s">
        <v>5</v>
      </c>
      <c r="C98" t="s">
        <v>10</v>
      </c>
      <c r="D98" t="s">
        <v>11</v>
      </c>
      <c r="E98">
        <v>24000</v>
      </c>
    </row>
    <row r="99" spans="1:5" x14ac:dyDescent="0.3">
      <c r="A99" s="1">
        <v>45748</v>
      </c>
      <c r="B99" t="s">
        <v>5</v>
      </c>
      <c r="C99" t="s">
        <v>12</v>
      </c>
      <c r="D99" t="s">
        <v>11</v>
      </c>
      <c r="E99">
        <v>7500</v>
      </c>
    </row>
    <row r="100" spans="1:5" x14ac:dyDescent="0.3">
      <c r="A100" s="1">
        <v>45748</v>
      </c>
      <c r="B100" t="s">
        <v>13</v>
      </c>
      <c r="C100" t="s">
        <v>14</v>
      </c>
      <c r="D100" t="s">
        <v>15</v>
      </c>
      <c r="E100">
        <v>30000</v>
      </c>
    </row>
    <row r="101" spans="1:5" x14ac:dyDescent="0.3">
      <c r="A101" s="1">
        <v>45748</v>
      </c>
      <c r="B101" t="s">
        <v>13</v>
      </c>
      <c r="C101" t="s">
        <v>16</v>
      </c>
      <c r="D101" t="s">
        <v>11</v>
      </c>
      <c r="E101">
        <v>28000</v>
      </c>
    </row>
    <row r="102" spans="1:5" x14ac:dyDescent="0.3">
      <c r="A102" s="1">
        <v>45748</v>
      </c>
      <c r="B102" t="s">
        <v>13</v>
      </c>
      <c r="C102" t="s">
        <v>17</v>
      </c>
      <c r="D102" t="s">
        <v>18</v>
      </c>
      <c r="E102">
        <v>7800</v>
      </c>
    </row>
    <row r="103" spans="1:5" x14ac:dyDescent="0.3">
      <c r="A103" s="1">
        <v>45748</v>
      </c>
      <c r="B103" t="s">
        <v>13</v>
      </c>
      <c r="C103" t="s">
        <v>19</v>
      </c>
      <c r="D103" t="s">
        <v>15</v>
      </c>
      <c r="E103">
        <v>5500</v>
      </c>
    </row>
    <row r="104" spans="1:5" x14ac:dyDescent="0.3">
      <c r="A104" s="1">
        <v>45748</v>
      </c>
      <c r="B104" t="s">
        <v>20</v>
      </c>
      <c r="C104" t="s">
        <v>21</v>
      </c>
      <c r="D104" t="s">
        <v>22</v>
      </c>
      <c r="E104">
        <v>40000</v>
      </c>
    </row>
    <row r="105" spans="1:5" x14ac:dyDescent="0.3">
      <c r="A105" s="1">
        <v>45748</v>
      </c>
      <c r="B105" t="s">
        <v>20</v>
      </c>
      <c r="C105" t="s">
        <v>23</v>
      </c>
      <c r="D105" t="s">
        <v>7</v>
      </c>
      <c r="E105">
        <v>65000</v>
      </c>
    </row>
    <row r="106" spans="1:5" x14ac:dyDescent="0.3">
      <c r="A106" s="1">
        <v>45748</v>
      </c>
      <c r="B106" t="s">
        <v>20</v>
      </c>
      <c r="C106" t="s">
        <v>24</v>
      </c>
      <c r="D106" t="s">
        <v>22</v>
      </c>
      <c r="E106">
        <v>35000</v>
      </c>
    </row>
    <row r="107" spans="1:5" x14ac:dyDescent="0.3">
      <c r="A107" s="1">
        <v>45748</v>
      </c>
      <c r="B107" t="s">
        <v>20</v>
      </c>
      <c r="C107" t="s">
        <v>25</v>
      </c>
      <c r="D107" t="s">
        <v>7</v>
      </c>
      <c r="E107">
        <v>21000</v>
      </c>
    </row>
    <row r="108" spans="1:5" x14ac:dyDescent="0.3">
      <c r="A108" s="1">
        <v>45748</v>
      </c>
      <c r="B108" t="s">
        <v>20</v>
      </c>
      <c r="C108" t="s">
        <v>26</v>
      </c>
      <c r="D108" t="s">
        <v>22</v>
      </c>
      <c r="E108">
        <v>8500</v>
      </c>
    </row>
    <row r="109" spans="1:5" x14ac:dyDescent="0.3">
      <c r="A109" s="1">
        <v>45748</v>
      </c>
      <c r="B109" t="s">
        <v>20</v>
      </c>
      <c r="C109" t="s">
        <v>27</v>
      </c>
      <c r="D109" t="s">
        <v>22</v>
      </c>
      <c r="E109">
        <v>10000</v>
      </c>
    </row>
    <row r="110" spans="1:5" x14ac:dyDescent="0.3">
      <c r="A110" s="1">
        <v>45748</v>
      </c>
      <c r="B110" t="s">
        <v>20</v>
      </c>
      <c r="C110" t="s">
        <v>28</v>
      </c>
      <c r="D110" t="s">
        <v>7</v>
      </c>
      <c r="E110">
        <v>4500</v>
      </c>
    </row>
    <row r="111" spans="1:5" x14ac:dyDescent="0.3">
      <c r="A111" s="1">
        <v>45748</v>
      </c>
      <c r="B111" t="s">
        <v>29</v>
      </c>
      <c r="C111" t="s">
        <v>30</v>
      </c>
      <c r="D111" t="s">
        <v>31</v>
      </c>
      <c r="E111">
        <v>95000</v>
      </c>
    </row>
    <row r="112" spans="1:5" x14ac:dyDescent="0.3">
      <c r="A112" s="1">
        <v>45748</v>
      </c>
      <c r="B112" t="s">
        <v>29</v>
      </c>
      <c r="C112" t="s">
        <v>32</v>
      </c>
      <c r="D112" t="s">
        <v>33</v>
      </c>
      <c r="E112">
        <v>40000</v>
      </c>
    </row>
    <row r="113" spans="1:5" x14ac:dyDescent="0.3">
      <c r="A113" s="1">
        <v>45748</v>
      </c>
      <c r="B113" t="s">
        <v>29</v>
      </c>
      <c r="C113" t="s">
        <v>34</v>
      </c>
      <c r="D113" t="s">
        <v>31</v>
      </c>
      <c r="E113">
        <v>12000</v>
      </c>
    </row>
    <row r="114" spans="1:5" x14ac:dyDescent="0.3">
      <c r="A114" s="1">
        <v>45748</v>
      </c>
      <c r="B114" t="s">
        <v>29</v>
      </c>
      <c r="C114" t="s">
        <v>35</v>
      </c>
      <c r="D114" t="s">
        <v>31</v>
      </c>
      <c r="E114">
        <v>8500</v>
      </c>
    </row>
    <row r="115" spans="1:5" x14ac:dyDescent="0.3">
      <c r="A115" s="1">
        <v>45748</v>
      </c>
      <c r="B115" t="s">
        <v>29</v>
      </c>
      <c r="C115" t="s">
        <v>36</v>
      </c>
      <c r="D115" t="s">
        <v>31</v>
      </c>
      <c r="E115">
        <v>6500</v>
      </c>
    </row>
    <row r="116" spans="1:5" x14ac:dyDescent="0.3">
      <c r="A116" s="1">
        <v>45748</v>
      </c>
      <c r="B116" t="s">
        <v>37</v>
      </c>
      <c r="C116" t="s">
        <v>38</v>
      </c>
      <c r="D116" t="s">
        <v>39</v>
      </c>
      <c r="E116">
        <v>55000</v>
      </c>
    </row>
    <row r="117" spans="1:5" x14ac:dyDescent="0.3">
      <c r="A117" s="1">
        <v>45748</v>
      </c>
      <c r="B117" t="s">
        <v>37</v>
      </c>
      <c r="C117" t="s">
        <v>40</v>
      </c>
      <c r="D117" t="s">
        <v>18</v>
      </c>
      <c r="E117">
        <v>25000</v>
      </c>
    </row>
    <row r="118" spans="1:5" x14ac:dyDescent="0.3">
      <c r="A118" s="1">
        <v>45748</v>
      </c>
      <c r="B118" t="s">
        <v>37</v>
      </c>
      <c r="C118" t="s">
        <v>41</v>
      </c>
      <c r="D118" t="s">
        <v>15</v>
      </c>
      <c r="E118">
        <v>30000</v>
      </c>
    </row>
    <row r="119" spans="1:5" x14ac:dyDescent="0.3">
      <c r="A119" s="1">
        <v>45748</v>
      </c>
      <c r="B119" t="s">
        <v>37</v>
      </c>
      <c r="C119" t="s">
        <v>42</v>
      </c>
      <c r="D119" t="s">
        <v>15</v>
      </c>
      <c r="E119">
        <v>18000</v>
      </c>
    </row>
    <row r="120" spans="1:5" x14ac:dyDescent="0.3">
      <c r="A120" s="1">
        <v>45748</v>
      </c>
      <c r="B120" t="s">
        <v>37</v>
      </c>
      <c r="C120" t="s">
        <v>43</v>
      </c>
      <c r="D120" t="s">
        <v>18</v>
      </c>
      <c r="E120">
        <v>8500</v>
      </c>
    </row>
    <row r="121" spans="1:5" x14ac:dyDescent="0.3">
      <c r="A121" s="1">
        <v>45748</v>
      </c>
      <c r="B121" t="s">
        <v>37</v>
      </c>
      <c r="C121" t="s">
        <v>44</v>
      </c>
      <c r="D121" t="s">
        <v>18</v>
      </c>
      <c r="E121">
        <v>7500</v>
      </c>
    </row>
    <row r="122" spans="1:5" x14ac:dyDescent="0.3">
      <c r="A122" s="1">
        <v>45748</v>
      </c>
      <c r="B122" t="s">
        <v>37</v>
      </c>
      <c r="C122" t="s">
        <v>45</v>
      </c>
      <c r="D122" t="s">
        <v>15</v>
      </c>
      <c r="E122">
        <v>10000</v>
      </c>
    </row>
    <row r="123" spans="1:5" x14ac:dyDescent="0.3">
      <c r="A123" s="1">
        <v>45748</v>
      </c>
      <c r="B123" t="s">
        <v>37</v>
      </c>
      <c r="C123" t="s">
        <v>46</v>
      </c>
      <c r="D123" t="s">
        <v>18</v>
      </c>
      <c r="E123">
        <v>4500</v>
      </c>
    </row>
    <row r="124" spans="1:5" x14ac:dyDescent="0.3">
      <c r="A124" s="1">
        <v>45748</v>
      </c>
      <c r="B124" t="s">
        <v>37</v>
      </c>
      <c r="C124" t="s">
        <v>47</v>
      </c>
      <c r="D124" t="s">
        <v>15</v>
      </c>
      <c r="E124">
        <v>6000</v>
      </c>
    </row>
    <row r="125" spans="1:5" x14ac:dyDescent="0.3">
      <c r="A125" s="1">
        <v>45748</v>
      </c>
      <c r="B125" t="s">
        <v>37</v>
      </c>
      <c r="C125" t="s">
        <v>48</v>
      </c>
      <c r="D125" t="s">
        <v>15</v>
      </c>
      <c r="E125">
        <v>2500</v>
      </c>
    </row>
    <row r="126" spans="1:5" x14ac:dyDescent="0.3">
      <c r="A126" s="1">
        <v>45778</v>
      </c>
      <c r="B126" t="s">
        <v>5</v>
      </c>
      <c r="C126" t="s">
        <v>6</v>
      </c>
      <c r="D126" t="s">
        <v>7</v>
      </c>
      <c r="E126">
        <v>43000</v>
      </c>
    </row>
    <row r="127" spans="1:5" x14ac:dyDescent="0.3">
      <c r="A127" s="1">
        <v>45778</v>
      </c>
      <c r="B127" t="s">
        <v>5</v>
      </c>
      <c r="C127" t="s">
        <v>8</v>
      </c>
      <c r="D127" t="s">
        <v>7</v>
      </c>
      <c r="E127">
        <v>82000</v>
      </c>
    </row>
    <row r="128" spans="1:5" x14ac:dyDescent="0.3">
      <c r="A128" s="1">
        <v>45778</v>
      </c>
      <c r="B128" t="s">
        <v>5</v>
      </c>
      <c r="C128" t="s">
        <v>9</v>
      </c>
      <c r="D128" t="s">
        <v>7</v>
      </c>
      <c r="E128">
        <v>115000</v>
      </c>
    </row>
    <row r="129" spans="1:5" x14ac:dyDescent="0.3">
      <c r="A129" s="1">
        <v>45778</v>
      </c>
      <c r="B129" t="s">
        <v>5</v>
      </c>
      <c r="C129" t="s">
        <v>10</v>
      </c>
      <c r="D129" t="s">
        <v>11</v>
      </c>
      <c r="E129">
        <v>24000</v>
      </c>
    </row>
    <row r="130" spans="1:5" x14ac:dyDescent="0.3">
      <c r="A130" s="1">
        <v>45778</v>
      </c>
      <c r="B130" t="s">
        <v>5</v>
      </c>
      <c r="C130" t="s">
        <v>12</v>
      </c>
      <c r="D130" t="s">
        <v>11</v>
      </c>
      <c r="E130">
        <v>7500</v>
      </c>
    </row>
    <row r="131" spans="1:5" x14ac:dyDescent="0.3">
      <c r="A131" s="1">
        <v>45778</v>
      </c>
      <c r="B131" t="s">
        <v>13</v>
      </c>
      <c r="C131" t="s">
        <v>14</v>
      </c>
      <c r="D131" t="s">
        <v>15</v>
      </c>
      <c r="E131">
        <v>30000</v>
      </c>
    </row>
    <row r="132" spans="1:5" x14ac:dyDescent="0.3">
      <c r="A132" s="1">
        <v>45778</v>
      </c>
      <c r="B132" t="s">
        <v>13</v>
      </c>
      <c r="C132" t="s">
        <v>16</v>
      </c>
      <c r="D132" t="s">
        <v>11</v>
      </c>
      <c r="E132">
        <v>28000</v>
      </c>
    </row>
    <row r="133" spans="1:5" x14ac:dyDescent="0.3">
      <c r="A133" s="1">
        <v>45778</v>
      </c>
      <c r="B133" t="s">
        <v>13</v>
      </c>
      <c r="C133" t="s">
        <v>17</v>
      </c>
      <c r="D133" t="s">
        <v>18</v>
      </c>
      <c r="E133">
        <v>7800</v>
      </c>
    </row>
    <row r="134" spans="1:5" x14ac:dyDescent="0.3">
      <c r="A134" s="1">
        <v>45778</v>
      </c>
      <c r="B134" t="s">
        <v>13</v>
      </c>
      <c r="C134" t="s">
        <v>19</v>
      </c>
      <c r="D134" t="s">
        <v>15</v>
      </c>
      <c r="E134">
        <v>5500</v>
      </c>
    </row>
    <row r="135" spans="1:5" x14ac:dyDescent="0.3">
      <c r="A135" s="1">
        <v>45778</v>
      </c>
      <c r="B135" t="s">
        <v>20</v>
      </c>
      <c r="C135" t="s">
        <v>21</v>
      </c>
      <c r="D135" t="s">
        <v>22</v>
      </c>
      <c r="E135">
        <v>40000</v>
      </c>
    </row>
    <row r="136" spans="1:5" x14ac:dyDescent="0.3">
      <c r="A136" s="1">
        <v>45778</v>
      </c>
      <c r="B136" t="s">
        <v>20</v>
      </c>
      <c r="C136" t="s">
        <v>23</v>
      </c>
      <c r="D136" t="s">
        <v>7</v>
      </c>
      <c r="E136">
        <v>65000</v>
      </c>
    </row>
    <row r="137" spans="1:5" x14ac:dyDescent="0.3">
      <c r="A137" s="1">
        <v>45778</v>
      </c>
      <c r="B137" t="s">
        <v>20</v>
      </c>
      <c r="C137" t="s">
        <v>24</v>
      </c>
      <c r="D137" t="s">
        <v>22</v>
      </c>
      <c r="E137">
        <v>35000</v>
      </c>
    </row>
    <row r="138" spans="1:5" x14ac:dyDescent="0.3">
      <c r="A138" s="1">
        <v>45778</v>
      </c>
      <c r="B138" t="s">
        <v>20</v>
      </c>
      <c r="C138" t="s">
        <v>25</v>
      </c>
      <c r="D138" t="s">
        <v>7</v>
      </c>
      <c r="E138">
        <v>21000</v>
      </c>
    </row>
    <row r="139" spans="1:5" x14ac:dyDescent="0.3">
      <c r="A139" s="1">
        <v>45778</v>
      </c>
      <c r="B139" t="s">
        <v>20</v>
      </c>
      <c r="C139" t="s">
        <v>26</v>
      </c>
      <c r="D139" t="s">
        <v>22</v>
      </c>
      <c r="E139">
        <v>8500</v>
      </c>
    </row>
    <row r="140" spans="1:5" x14ac:dyDescent="0.3">
      <c r="A140" s="1">
        <v>45778</v>
      </c>
      <c r="B140" t="s">
        <v>20</v>
      </c>
      <c r="C140" t="s">
        <v>27</v>
      </c>
      <c r="D140" t="s">
        <v>22</v>
      </c>
      <c r="E140">
        <v>10000</v>
      </c>
    </row>
    <row r="141" spans="1:5" x14ac:dyDescent="0.3">
      <c r="A141" s="1">
        <v>45778</v>
      </c>
      <c r="B141" t="s">
        <v>20</v>
      </c>
      <c r="C141" t="s">
        <v>28</v>
      </c>
      <c r="D141" t="s">
        <v>7</v>
      </c>
      <c r="E141">
        <v>4500</v>
      </c>
    </row>
    <row r="142" spans="1:5" x14ac:dyDescent="0.3">
      <c r="A142" s="1">
        <v>45778</v>
      </c>
      <c r="B142" t="s">
        <v>29</v>
      </c>
      <c r="C142" t="s">
        <v>30</v>
      </c>
      <c r="D142" t="s">
        <v>31</v>
      </c>
      <c r="E142">
        <v>95000</v>
      </c>
    </row>
    <row r="143" spans="1:5" x14ac:dyDescent="0.3">
      <c r="A143" s="1">
        <v>45778</v>
      </c>
      <c r="B143" t="s">
        <v>29</v>
      </c>
      <c r="C143" t="s">
        <v>32</v>
      </c>
      <c r="D143" t="s">
        <v>33</v>
      </c>
      <c r="E143">
        <v>40000</v>
      </c>
    </row>
    <row r="144" spans="1:5" x14ac:dyDescent="0.3">
      <c r="A144" s="1">
        <v>45778</v>
      </c>
      <c r="B144" t="s">
        <v>29</v>
      </c>
      <c r="C144" t="s">
        <v>34</v>
      </c>
      <c r="D144" t="s">
        <v>31</v>
      </c>
      <c r="E144">
        <v>12000</v>
      </c>
    </row>
    <row r="145" spans="1:5" x14ac:dyDescent="0.3">
      <c r="A145" s="1">
        <v>45778</v>
      </c>
      <c r="B145" t="s">
        <v>29</v>
      </c>
      <c r="C145" t="s">
        <v>35</v>
      </c>
      <c r="D145" t="s">
        <v>31</v>
      </c>
      <c r="E145">
        <v>8500</v>
      </c>
    </row>
    <row r="146" spans="1:5" x14ac:dyDescent="0.3">
      <c r="A146" s="1">
        <v>45778</v>
      </c>
      <c r="B146" t="s">
        <v>29</v>
      </c>
      <c r="C146" t="s">
        <v>36</v>
      </c>
      <c r="D146" t="s">
        <v>31</v>
      </c>
      <c r="E146">
        <v>6500</v>
      </c>
    </row>
    <row r="147" spans="1:5" x14ac:dyDescent="0.3">
      <c r="A147" s="1">
        <v>45778</v>
      </c>
      <c r="B147" t="s">
        <v>37</v>
      </c>
      <c r="C147" t="s">
        <v>38</v>
      </c>
      <c r="D147" t="s">
        <v>39</v>
      </c>
      <c r="E147">
        <v>55000</v>
      </c>
    </row>
    <row r="148" spans="1:5" x14ac:dyDescent="0.3">
      <c r="A148" s="1">
        <v>45778</v>
      </c>
      <c r="B148" t="s">
        <v>37</v>
      </c>
      <c r="C148" t="s">
        <v>40</v>
      </c>
      <c r="D148" t="s">
        <v>18</v>
      </c>
      <c r="E148">
        <v>25000</v>
      </c>
    </row>
    <row r="149" spans="1:5" x14ac:dyDescent="0.3">
      <c r="A149" s="1">
        <v>45778</v>
      </c>
      <c r="B149" t="s">
        <v>37</v>
      </c>
      <c r="C149" t="s">
        <v>41</v>
      </c>
      <c r="D149" t="s">
        <v>15</v>
      </c>
      <c r="E149">
        <v>30000</v>
      </c>
    </row>
    <row r="150" spans="1:5" x14ac:dyDescent="0.3">
      <c r="A150" s="1">
        <v>45778</v>
      </c>
      <c r="B150" t="s">
        <v>37</v>
      </c>
      <c r="C150" t="s">
        <v>42</v>
      </c>
      <c r="D150" t="s">
        <v>15</v>
      </c>
      <c r="E150">
        <v>18000</v>
      </c>
    </row>
    <row r="151" spans="1:5" x14ac:dyDescent="0.3">
      <c r="A151" s="1">
        <v>45778</v>
      </c>
      <c r="B151" t="s">
        <v>37</v>
      </c>
      <c r="C151" t="s">
        <v>43</v>
      </c>
      <c r="D151" t="s">
        <v>18</v>
      </c>
      <c r="E151">
        <v>8500</v>
      </c>
    </row>
    <row r="152" spans="1:5" x14ac:dyDescent="0.3">
      <c r="A152" s="1">
        <v>45778</v>
      </c>
      <c r="B152" t="s">
        <v>37</v>
      </c>
      <c r="C152" t="s">
        <v>44</v>
      </c>
      <c r="D152" t="s">
        <v>18</v>
      </c>
      <c r="E152">
        <v>7500</v>
      </c>
    </row>
    <row r="153" spans="1:5" x14ac:dyDescent="0.3">
      <c r="A153" s="1">
        <v>45778</v>
      </c>
      <c r="B153" t="s">
        <v>37</v>
      </c>
      <c r="C153" t="s">
        <v>45</v>
      </c>
      <c r="D153" t="s">
        <v>15</v>
      </c>
      <c r="E153">
        <v>10000</v>
      </c>
    </row>
    <row r="154" spans="1:5" x14ac:dyDescent="0.3">
      <c r="A154" s="1">
        <v>45778</v>
      </c>
      <c r="B154" t="s">
        <v>37</v>
      </c>
      <c r="C154" t="s">
        <v>46</v>
      </c>
      <c r="D154" t="s">
        <v>18</v>
      </c>
      <c r="E154">
        <v>4500</v>
      </c>
    </row>
    <row r="155" spans="1:5" x14ac:dyDescent="0.3">
      <c r="A155" s="1">
        <v>45778</v>
      </c>
      <c r="B155" t="s">
        <v>37</v>
      </c>
      <c r="C155" t="s">
        <v>47</v>
      </c>
      <c r="D155" t="s">
        <v>15</v>
      </c>
      <c r="E155">
        <v>6000</v>
      </c>
    </row>
    <row r="156" spans="1:5" x14ac:dyDescent="0.3">
      <c r="A156" s="1">
        <v>45778</v>
      </c>
      <c r="B156" t="s">
        <v>37</v>
      </c>
      <c r="C156" t="s">
        <v>48</v>
      </c>
      <c r="D156" t="s">
        <v>15</v>
      </c>
      <c r="E156">
        <v>2500</v>
      </c>
    </row>
    <row r="157" spans="1:5" x14ac:dyDescent="0.3">
      <c r="A157" s="1">
        <v>45809</v>
      </c>
      <c r="B157" t="s">
        <v>5</v>
      </c>
      <c r="C157" t="s">
        <v>6</v>
      </c>
      <c r="D157" t="s">
        <v>7</v>
      </c>
      <c r="E157">
        <v>43000</v>
      </c>
    </row>
    <row r="158" spans="1:5" x14ac:dyDescent="0.3">
      <c r="A158" s="1">
        <v>45809</v>
      </c>
      <c r="B158" t="s">
        <v>5</v>
      </c>
      <c r="C158" t="s">
        <v>8</v>
      </c>
      <c r="D158" t="s">
        <v>7</v>
      </c>
      <c r="E158">
        <v>82000</v>
      </c>
    </row>
    <row r="159" spans="1:5" x14ac:dyDescent="0.3">
      <c r="A159" s="1">
        <v>45809</v>
      </c>
      <c r="B159" t="s">
        <v>5</v>
      </c>
      <c r="C159" t="s">
        <v>9</v>
      </c>
      <c r="D159" t="s">
        <v>7</v>
      </c>
      <c r="E159">
        <v>115000</v>
      </c>
    </row>
    <row r="160" spans="1:5" x14ac:dyDescent="0.3">
      <c r="A160" s="1">
        <v>45809</v>
      </c>
      <c r="B160" t="s">
        <v>5</v>
      </c>
      <c r="C160" t="s">
        <v>10</v>
      </c>
      <c r="D160" t="s">
        <v>11</v>
      </c>
      <c r="E160">
        <v>24000</v>
      </c>
    </row>
    <row r="161" spans="1:5" x14ac:dyDescent="0.3">
      <c r="A161" s="1">
        <v>45809</v>
      </c>
      <c r="B161" t="s">
        <v>5</v>
      </c>
      <c r="C161" t="s">
        <v>12</v>
      </c>
      <c r="D161" t="s">
        <v>11</v>
      </c>
      <c r="E161">
        <v>7500</v>
      </c>
    </row>
    <row r="162" spans="1:5" x14ac:dyDescent="0.3">
      <c r="A162" s="1">
        <v>45809</v>
      </c>
      <c r="B162" t="s">
        <v>13</v>
      </c>
      <c r="C162" t="s">
        <v>14</v>
      </c>
      <c r="D162" t="s">
        <v>15</v>
      </c>
      <c r="E162">
        <v>30000</v>
      </c>
    </row>
    <row r="163" spans="1:5" x14ac:dyDescent="0.3">
      <c r="A163" s="1">
        <v>45809</v>
      </c>
      <c r="B163" t="s">
        <v>13</v>
      </c>
      <c r="C163" t="s">
        <v>16</v>
      </c>
      <c r="D163" t="s">
        <v>11</v>
      </c>
      <c r="E163">
        <v>28000</v>
      </c>
    </row>
    <row r="164" spans="1:5" x14ac:dyDescent="0.3">
      <c r="A164" s="1">
        <v>45809</v>
      </c>
      <c r="B164" t="s">
        <v>13</v>
      </c>
      <c r="C164" t="s">
        <v>17</v>
      </c>
      <c r="D164" t="s">
        <v>18</v>
      </c>
      <c r="E164">
        <v>7800</v>
      </c>
    </row>
    <row r="165" spans="1:5" x14ac:dyDescent="0.3">
      <c r="A165" s="1">
        <v>45809</v>
      </c>
      <c r="B165" t="s">
        <v>13</v>
      </c>
      <c r="C165" t="s">
        <v>19</v>
      </c>
      <c r="D165" t="s">
        <v>15</v>
      </c>
      <c r="E165">
        <v>5500</v>
      </c>
    </row>
    <row r="166" spans="1:5" x14ac:dyDescent="0.3">
      <c r="A166" s="1">
        <v>45809</v>
      </c>
      <c r="B166" t="s">
        <v>20</v>
      </c>
      <c r="C166" t="s">
        <v>21</v>
      </c>
      <c r="D166" t="s">
        <v>22</v>
      </c>
      <c r="E166">
        <v>40000</v>
      </c>
    </row>
    <row r="167" spans="1:5" x14ac:dyDescent="0.3">
      <c r="A167" s="1">
        <v>45809</v>
      </c>
      <c r="B167" t="s">
        <v>20</v>
      </c>
      <c r="C167" t="s">
        <v>23</v>
      </c>
      <c r="D167" t="s">
        <v>7</v>
      </c>
      <c r="E167">
        <v>65000</v>
      </c>
    </row>
    <row r="168" spans="1:5" x14ac:dyDescent="0.3">
      <c r="A168" s="1">
        <v>45809</v>
      </c>
      <c r="B168" t="s">
        <v>20</v>
      </c>
      <c r="C168" t="s">
        <v>24</v>
      </c>
      <c r="D168" t="s">
        <v>22</v>
      </c>
      <c r="E168">
        <v>35000</v>
      </c>
    </row>
    <row r="169" spans="1:5" x14ac:dyDescent="0.3">
      <c r="A169" s="1">
        <v>45809</v>
      </c>
      <c r="B169" t="s">
        <v>20</v>
      </c>
      <c r="C169" t="s">
        <v>25</v>
      </c>
      <c r="D169" t="s">
        <v>7</v>
      </c>
      <c r="E169">
        <v>21000</v>
      </c>
    </row>
    <row r="170" spans="1:5" x14ac:dyDescent="0.3">
      <c r="A170" s="1">
        <v>45809</v>
      </c>
      <c r="B170" t="s">
        <v>20</v>
      </c>
      <c r="C170" t="s">
        <v>26</v>
      </c>
      <c r="D170" t="s">
        <v>22</v>
      </c>
      <c r="E170">
        <v>8500</v>
      </c>
    </row>
    <row r="171" spans="1:5" x14ac:dyDescent="0.3">
      <c r="A171" s="1">
        <v>45809</v>
      </c>
      <c r="B171" t="s">
        <v>20</v>
      </c>
      <c r="C171" t="s">
        <v>27</v>
      </c>
      <c r="D171" t="s">
        <v>22</v>
      </c>
      <c r="E171">
        <v>10000</v>
      </c>
    </row>
    <row r="172" spans="1:5" x14ac:dyDescent="0.3">
      <c r="A172" s="1">
        <v>45809</v>
      </c>
      <c r="B172" t="s">
        <v>20</v>
      </c>
      <c r="C172" t="s">
        <v>28</v>
      </c>
      <c r="D172" t="s">
        <v>7</v>
      </c>
      <c r="E172">
        <v>4500</v>
      </c>
    </row>
    <row r="173" spans="1:5" x14ac:dyDescent="0.3">
      <c r="A173" s="1">
        <v>45809</v>
      </c>
      <c r="B173" t="s">
        <v>29</v>
      </c>
      <c r="C173" t="s">
        <v>30</v>
      </c>
      <c r="D173" t="s">
        <v>31</v>
      </c>
      <c r="E173">
        <v>95000</v>
      </c>
    </row>
    <row r="174" spans="1:5" x14ac:dyDescent="0.3">
      <c r="A174" s="1">
        <v>45809</v>
      </c>
      <c r="B174" t="s">
        <v>29</v>
      </c>
      <c r="C174" t="s">
        <v>32</v>
      </c>
      <c r="D174" t="s">
        <v>33</v>
      </c>
      <c r="E174">
        <v>40000</v>
      </c>
    </row>
    <row r="175" spans="1:5" x14ac:dyDescent="0.3">
      <c r="A175" s="1">
        <v>45809</v>
      </c>
      <c r="B175" t="s">
        <v>29</v>
      </c>
      <c r="C175" t="s">
        <v>34</v>
      </c>
      <c r="D175" t="s">
        <v>31</v>
      </c>
      <c r="E175">
        <v>12000</v>
      </c>
    </row>
    <row r="176" spans="1:5" x14ac:dyDescent="0.3">
      <c r="A176" s="1">
        <v>45809</v>
      </c>
      <c r="B176" t="s">
        <v>29</v>
      </c>
      <c r="C176" t="s">
        <v>35</v>
      </c>
      <c r="D176" t="s">
        <v>31</v>
      </c>
      <c r="E176">
        <v>8500</v>
      </c>
    </row>
    <row r="177" spans="1:5" x14ac:dyDescent="0.3">
      <c r="A177" s="1">
        <v>45809</v>
      </c>
      <c r="B177" t="s">
        <v>29</v>
      </c>
      <c r="C177" t="s">
        <v>36</v>
      </c>
      <c r="D177" t="s">
        <v>31</v>
      </c>
      <c r="E177">
        <v>6500</v>
      </c>
    </row>
    <row r="178" spans="1:5" x14ac:dyDescent="0.3">
      <c r="A178" s="1">
        <v>45809</v>
      </c>
      <c r="B178" t="s">
        <v>37</v>
      </c>
      <c r="C178" t="s">
        <v>38</v>
      </c>
      <c r="D178" t="s">
        <v>39</v>
      </c>
      <c r="E178">
        <v>55000</v>
      </c>
    </row>
    <row r="179" spans="1:5" x14ac:dyDescent="0.3">
      <c r="A179" s="1">
        <v>45809</v>
      </c>
      <c r="B179" t="s">
        <v>37</v>
      </c>
      <c r="C179" t="s">
        <v>40</v>
      </c>
      <c r="D179" t="s">
        <v>18</v>
      </c>
      <c r="E179">
        <v>25000</v>
      </c>
    </row>
    <row r="180" spans="1:5" x14ac:dyDescent="0.3">
      <c r="A180" s="1">
        <v>45809</v>
      </c>
      <c r="B180" t="s">
        <v>37</v>
      </c>
      <c r="C180" t="s">
        <v>41</v>
      </c>
      <c r="D180" t="s">
        <v>15</v>
      </c>
      <c r="E180">
        <v>30000</v>
      </c>
    </row>
    <row r="181" spans="1:5" x14ac:dyDescent="0.3">
      <c r="A181" s="1">
        <v>45809</v>
      </c>
      <c r="B181" t="s">
        <v>37</v>
      </c>
      <c r="C181" t="s">
        <v>42</v>
      </c>
      <c r="D181" t="s">
        <v>15</v>
      </c>
      <c r="E181">
        <v>18000</v>
      </c>
    </row>
    <row r="182" spans="1:5" x14ac:dyDescent="0.3">
      <c r="A182" s="1">
        <v>45809</v>
      </c>
      <c r="B182" t="s">
        <v>37</v>
      </c>
      <c r="C182" t="s">
        <v>43</v>
      </c>
      <c r="D182" t="s">
        <v>18</v>
      </c>
      <c r="E182">
        <v>8500</v>
      </c>
    </row>
    <row r="183" spans="1:5" x14ac:dyDescent="0.3">
      <c r="A183" s="1">
        <v>45809</v>
      </c>
      <c r="B183" t="s">
        <v>37</v>
      </c>
      <c r="C183" t="s">
        <v>44</v>
      </c>
      <c r="D183" t="s">
        <v>18</v>
      </c>
      <c r="E183">
        <v>7500</v>
      </c>
    </row>
    <row r="184" spans="1:5" x14ac:dyDescent="0.3">
      <c r="A184" s="1">
        <v>45809</v>
      </c>
      <c r="B184" t="s">
        <v>37</v>
      </c>
      <c r="C184" t="s">
        <v>45</v>
      </c>
      <c r="D184" t="s">
        <v>15</v>
      </c>
      <c r="E184">
        <v>10000</v>
      </c>
    </row>
    <row r="185" spans="1:5" x14ac:dyDescent="0.3">
      <c r="A185" s="1">
        <v>45809</v>
      </c>
      <c r="B185" t="s">
        <v>37</v>
      </c>
      <c r="C185" t="s">
        <v>46</v>
      </c>
      <c r="D185" t="s">
        <v>18</v>
      </c>
      <c r="E185">
        <v>4500</v>
      </c>
    </row>
    <row r="186" spans="1:5" x14ac:dyDescent="0.3">
      <c r="A186" s="1">
        <v>45809</v>
      </c>
      <c r="B186" t="s">
        <v>37</v>
      </c>
      <c r="C186" t="s">
        <v>47</v>
      </c>
      <c r="D186" t="s">
        <v>15</v>
      </c>
      <c r="E186">
        <v>6000</v>
      </c>
    </row>
    <row r="187" spans="1:5" x14ac:dyDescent="0.3">
      <c r="A187" s="1">
        <v>45809</v>
      </c>
      <c r="B187" t="s">
        <v>37</v>
      </c>
      <c r="C187" t="s">
        <v>48</v>
      </c>
      <c r="D187" t="s">
        <v>15</v>
      </c>
      <c r="E187">
        <v>2500</v>
      </c>
    </row>
    <row r="188" spans="1:5" x14ac:dyDescent="0.3">
      <c r="A188" s="1">
        <v>45839</v>
      </c>
      <c r="B188" t="s">
        <v>5</v>
      </c>
      <c r="C188" t="s">
        <v>6</v>
      </c>
      <c r="D188" t="s">
        <v>7</v>
      </c>
      <c r="E188">
        <v>43000</v>
      </c>
    </row>
    <row r="189" spans="1:5" x14ac:dyDescent="0.3">
      <c r="A189" s="1">
        <v>45839</v>
      </c>
      <c r="B189" t="s">
        <v>5</v>
      </c>
      <c r="C189" t="s">
        <v>8</v>
      </c>
      <c r="D189" t="s">
        <v>7</v>
      </c>
      <c r="E189">
        <v>82000</v>
      </c>
    </row>
    <row r="190" spans="1:5" x14ac:dyDescent="0.3">
      <c r="A190" s="1">
        <v>45839</v>
      </c>
      <c r="B190" t="s">
        <v>5</v>
      </c>
      <c r="C190" t="s">
        <v>9</v>
      </c>
      <c r="D190" t="s">
        <v>7</v>
      </c>
      <c r="E190">
        <v>115000</v>
      </c>
    </row>
    <row r="191" spans="1:5" x14ac:dyDescent="0.3">
      <c r="A191" s="1">
        <v>45839</v>
      </c>
      <c r="B191" t="s">
        <v>5</v>
      </c>
      <c r="C191" t="s">
        <v>10</v>
      </c>
      <c r="D191" t="s">
        <v>11</v>
      </c>
      <c r="E191">
        <v>24000</v>
      </c>
    </row>
    <row r="192" spans="1:5" x14ac:dyDescent="0.3">
      <c r="A192" s="1">
        <v>45839</v>
      </c>
      <c r="B192" t="s">
        <v>5</v>
      </c>
      <c r="C192" t="s">
        <v>12</v>
      </c>
      <c r="D192" t="s">
        <v>11</v>
      </c>
      <c r="E192">
        <v>7500</v>
      </c>
    </row>
    <row r="193" spans="1:5" x14ac:dyDescent="0.3">
      <c r="A193" s="1">
        <v>45839</v>
      </c>
      <c r="B193" t="s">
        <v>13</v>
      </c>
      <c r="C193" t="s">
        <v>14</v>
      </c>
      <c r="D193" t="s">
        <v>15</v>
      </c>
      <c r="E193">
        <v>30000</v>
      </c>
    </row>
    <row r="194" spans="1:5" x14ac:dyDescent="0.3">
      <c r="A194" s="1">
        <v>45839</v>
      </c>
      <c r="B194" t="s">
        <v>13</v>
      </c>
      <c r="C194" t="s">
        <v>16</v>
      </c>
      <c r="D194" t="s">
        <v>11</v>
      </c>
      <c r="E194">
        <v>28000</v>
      </c>
    </row>
    <row r="195" spans="1:5" x14ac:dyDescent="0.3">
      <c r="A195" s="1">
        <v>45839</v>
      </c>
      <c r="B195" t="s">
        <v>13</v>
      </c>
      <c r="C195" t="s">
        <v>17</v>
      </c>
      <c r="D195" t="s">
        <v>18</v>
      </c>
      <c r="E195">
        <v>7800</v>
      </c>
    </row>
    <row r="196" spans="1:5" x14ac:dyDescent="0.3">
      <c r="A196" s="1">
        <v>45839</v>
      </c>
      <c r="B196" t="s">
        <v>13</v>
      </c>
      <c r="C196" t="s">
        <v>19</v>
      </c>
      <c r="D196" t="s">
        <v>15</v>
      </c>
      <c r="E196">
        <v>5500</v>
      </c>
    </row>
    <row r="197" spans="1:5" x14ac:dyDescent="0.3">
      <c r="A197" s="1">
        <v>45839</v>
      </c>
      <c r="B197" t="s">
        <v>20</v>
      </c>
      <c r="C197" t="s">
        <v>21</v>
      </c>
      <c r="D197" t="s">
        <v>22</v>
      </c>
      <c r="E197">
        <v>48000</v>
      </c>
    </row>
    <row r="198" spans="1:5" x14ac:dyDescent="0.3">
      <c r="A198" s="1">
        <v>45839</v>
      </c>
      <c r="B198" t="s">
        <v>20</v>
      </c>
      <c r="C198" t="s">
        <v>23</v>
      </c>
      <c r="D198" t="s">
        <v>7</v>
      </c>
      <c r="E198">
        <v>65000</v>
      </c>
    </row>
    <row r="199" spans="1:5" x14ac:dyDescent="0.3">
      <c r="A199" s="1">
        <v>45839</v>
      </c>
      <c r="B199" t="s">
        <v>20</v>
      </c>
      <c r="C199" t="s">
        <v>24</v>
      </c>
      <c r="D199" t="s">
        <v>22</v>
      </c>
      <c r="E199">
        <v>35000</v>
      </c>
    </row>
    <row r="200" spans="1:5" x14ac:dyDescent="0.3">
      <c r="A200" s="1">
        <v>45839</v>
      </c>
      <c r="B200" t="s">
        <v>20</v>
      </c>
      <c r="C200" t="s">
        <v>25</v>
      </c>
      <c r="D200" t="s">
        <v>7</v>
      </c>
      <c r="E200">
        <v>21000</v>
      </c>
    </row>
    <row r="201" spans="1:5" x14ac:dyDescent="0.3">
      <c r="A201" s="1">
        <v>45839</v>
      </c>
      <c r="B201" t="s">
        <v>20</v>
      </c>
      <c r="C201" t="s">
        <v>26</v>
      </c>
      <c r="D201" t="s">
        <v>22</v>
      </c>
      <c r="E201">
        <v>8500</v>
      </c>
    </row>
    <row r="202" spans="1:5" x14ac:dyDescent="0.3">
      <c r="A202" s="1">
        <v>45839</v>
      </c>
      <c r="B202" t="s">
        <v>20</v>
      </c>
      <c r="C202" t="s">
        <v>27</v>
      </c>
      <c r="D202" t="s">
        <v>22</v>
      </c>
      <c r="E202">
        <v>10000</v>
      </c>
    </row>
    <row r="203" spans="1:5" x14ac:dyDescent="0.3">
      <c r="A203" s="1">
        <v>45839</v>
      </c>
      <c r="B203" t="s">
        <v>20</v>
      </c>
      <c r="C203" t="s">
        <v>28</v>
      </c>
      <c r="D203" t="s">
        <v>7</v>
      </c>
      <c r="E203">
        <v>4500</v>
      </c>
    </row>
    <row r="204" spans="1:5" x14ac:dyDescent="0.3">
      <c r="A204" s="1">
        <v>45839</v>
      </c>
      <c r="B204" t="s">
        <v>29</v>
      </c>
      <c r="C204" t="s">
        <v>30</v>
      </c>
      <c r="D204" t="s">
        <v>31</v>
      </c>
      <c r="E204">
        <v>105000</v>
      </c>
    </row>
    <row r="205" spans="1:5" x14ac:dyDescent="0.3">
      <c r="A205" s="1">
        <v>45839</v>
      </c>
      <c r="B205" t="s">
        <v>29</v>
      </c>
      <c r="C205" t="s">
        <v>32</v>
      </c>
      <c r="D205" t="s">
        <v>33</v>
      </c>
      <c r="E205">
        <v>40000</v>
      </c>
    </row>
    <row r="206" spans="1:5" x14ac:dyDescent="0.3">
      <c r="A206" s="1">
        <v>45839</v>
      </c>
      <c r="B206" t="s">
        <v>29</v>
      </c>
      <c r="C206" t="s">
        <v>34</v>
      </c>
      <c r="D206" t="s">
        <v>31</v>
      </c>
      <c r="E206">
        <v>12000</v>
      </c>
    </row>
    <row r="207" spans="1:5" x14ac:dyDescent="0.3">
      <c r="A207" s="1">
        <v>45839</v>
      </c>
      <c r="B207" t="s">
        <v>29</v>
      </c>
      <c r="C207" t="s">
        <v>35</v>
      </c>
      <c r="D207" t="s">
        <v>31</v>
      </c>
      <c r="E207">
        <v>8500</v>
      </c>
    </row>
    <row r="208" spans="1:5" x14ac:dyDescent="0.3">
      <c r="A208" s="1">
        <v>45839</v>
      </c>
      <c r="B208" t="s">
        <v>29</v>
      </c>
      <c r="C208" t="s">
        <v>36</v>
      </c>
      <c r="D208" t="s">
        <v>31</v>
      </c>
      <c r="E208">
        <v>6500</v>
      </c>
    </row>
    <row r="209" spans="1:5" x14ac:dyDescent="0.3">
      <c r="A209" s="1">
        <v>45839</v>
      </c>
      <c r="B209" t="s">
        <v>37</v>
      </c>
      <c r="C209" t="s">
        <v>38</v>
      </c>
      <c r="D209" t="s">
        <v>39</v>
      </c>
      <c r="E209">
        <v>55000</v>
      </c>
    </row>
    <row r="210" spans="1:5" x14ac:dyDescent="0.3">
      <c r="A210" s="1">
        <v>45839</v>
      </c>
      <c r="B210" t="s">
        <v>37</v>
      </c>
      <c r="C210" t="s">
        <v>40</v>
      </c>
      <c r="D210" t="s">
        <v>18</v>
      </c>
      <c r="E210">
        <v>25000</v>
      </c>
    </row>
    <row r="211" spans="1:5" x14ac:dyDescent="0.3">
      <c r="A211" s="1">
        <v>45839</v>
      </c>
      <c r="B211" t="s">
        <v>37</v>
      </c>
      <c r="C211" t="s">
        <v>41</v>
      </c>
      <c r="D211" t="s">
        <v>15</v>
      </c>
      <c r="E211">
        <v>30000</v>
      </c>
    </row>
    <row r="212" spans="1:5" x14ac:dyDescent="0.3">
      <c r="A212" s="1">
        <v>45839</v>
      </c>
      <c r="B212" t="s">
        <v>37</v>
      </c>
      <c r="C212" t="s">
        <v>42</v>
      </c>
      <c r="D212" t="s">
        <v>15</v>
      </c>
      <c r="E212">
        <v>18000</v>
      </c>
    </row>
    <row r="213" spans="1:5" x14ac:dyDescent="0.3">
      <c r="A213" s="1">
        <v>45839</v>
      </c>
      <c r="B213" t="s">
        <v>37</v>
      </c>
      <c r="C213" t="s">
        <v>43</v>
      </c>
      <c r="D213" t="s">
        <v>18</v>
      </c>
      <c r="E213">
        <v>8500</v>
      </c>
    </row>
    <row r="214" spans="1:5" x14ac:dyDescent="0.3">
      <c r="A214" s="1">
        <v>45839</v>
      </c>
      <c r="B214" t="s">
        <v>37</v>
      </c>
      <c r="C214" t="s">
        <v>44</v>
      </c>
      <c r="D214" t="s">
        <v>18</v>
      </c>
      <c r="E214">
        <v>7500</v>
      </c>
    </row>
    <row r="215" spans="1:5" x14ac:dyDescent="0.3">
      <c r="A215" s="1">
        <v>45839</v>
      </c>
      <c r="B215" t="s">
        <v>37</v>
      </c>
      <c r="C215" t="s">
        <v>45</v>
      </c>
      <c r="D215" t="s">
        <v>15</v>
      </c>
      <c r="E215">
        <v>12000</v>
      </c>
    </row>
    <row r="216" spans="1:5" x14ac:dyDescent="0.3">
      <c r="A216" s="1">
        <v>45839</v>
      </c>
      <c r="B216" t="s">
        <v>37</v>
      </c>
      <c r="C216" t="s">
        <v>46</v>
      </c>
      <c r="D216" t="s">
        <v>18</v>
      </c>
      <c r="E216">
        <v>4500</v>
      </c>
    </row>
    <row r="217" spans="1:5" x14ac:dyDescent="0.3">
      <c r="A217" s="1">
        <v>45839</v>
      </c>
      <c r="B217" t="s">
        <v>37</v>
      </c>
      <c r="C217" t="s">
        <v>47</v>
      </c>
      <c r="D217" t="s">
        <v>15</v>
      </c>
      <c r="E217">
        <v>6000</v>
      </c>
    </row>
    <row r="218" spans="1:5" x14ac:dyDescent="0.3">
      <c r="A218" s="1">
        <v>45839</v>
      </c>
      <c r="B218" t="s">
        <v>37</v>
      </c>
      <c r="C218" t="s">
        <v>48</v>
      </c>
      <c r="D218" t="s">
        <v>15</v>
      </c>
      <c r="E218">
        <v>2500</v>
      </c>
    </row>
    <row r="219" spans="1:5" x14ac:dyDescent="0.3">
      <c r="A219" s="1">
        <v>45870</v>
      </c>
      <c r="B219" t="s">
        <v>5</v>
      </c>
      <c r="C219" t="s">
        <v>6</v>
      </c>
      <c r="D219" t="s">
        <v>7</v>
      </c>
      <c r="E219">
        <v>43000</v>
      </c>
    </row>
    <row r="220" spans="1:5" x14ac:dyDescent="0.3">
      <c r="A220" s="1">
        <v>45870</v>
      </c>
      <c r="B220" t="s">
        <v>5</v>
      </c>
      <c r="C220" t="s">
        <v>8</v>
      </c>
      <c r="D220" t="s">
        <v>7</v>
      </c>
      <c r="E220">
        <v>82000</v>
      </c>
    </row>
    <row r="221" spans="1:5" x14ac:dyDescent="0.3">
      <c r="A221" s="1">
        <v>45870</v>
      </c>
      <c r="B221" t="s">
        <v>5</v>
      </c>
      <c r="C221" t="s">
        <v>9</v>
      </c>
      <c r="D221" t="s">
        <v>7</v>
      </c>
      <c r="E221">
        <v>115000</v>
      </c>
    </row>
    <row r="222" spans="1:5" x14ac:dyDescent="0.3">
      <c r="A222" s="1">
        <v>45870</v>
      </c>
      <c r="B222" t="s">
        <v>5</v>
      </c>
      <c r="C222" t="s">
        <v>10</v>
      </c>
      <c r="D222" t="s">
        <v>11</v>
      </c>
      <c r="E222">
        <v>24000</v>
      </c>
    </row>
    <row r="223" spans="1:5" x14ac:dyDescent="0.3">
      <c r="A223" s="1">
        <v>45870</v>
      </c>
      <c r="B223" t="s">
        <v>5</v>
      </c>
      <c r="C223" t="s">
        <v>12</v>
      </c>
      <c r="D223" t="s">
        <v>11</v>
      </c>
      <c r="E223">
        <v>7500</v>
      </c>
    </row>
    <row r="224" spans="1:5" x14ac:dyDescent="0.3">
      <c r="A224" s="1">
        <v>45870</v>
      </c>
      <c r="B224" t="s">
        <v>13</v>
      </c>
      <c r="C224" t="s">
        <v>14</v>
      </c>
      <c r="D224" t="s">
        <v>15</v>
      </c>
      <c r="E224">
        <v>30000</v>
      </c>
    </row>
    <row r="225" spans="1:5" x14ac:dyDescent="0.3">
      <c r="A225" s="1">
        <v>45870</v>
      </c>
      <c r="B225" t="s">
        <v>13</v>
      </c>
      <c r="C225" t="s">
        <v>16</v>
      </c>
      <c r="D225" t="s">
        <v>11</v>
      </c>
      <c r="E225">
        <v>28000</v>
      </c>
    </row>
    <row r="226" spans="1:5" x14ac:dyDescent="0.3">
      <c r="A226" s="1">
        <v>45870</v>
      </c>
      <c r="B226" t="s">
        <v>13</v>
      </c>
      <c r="C226" t="s">
        <v>17</v>
      </c>
      <c r="D226" t="s">
        <v>18</v>
      </c>
      <c r="E226">
        <v>7800</v>
      </c>
    </row>
    <row r="227" spans="1:5" x14ac:dyDescent="0.3">
      <c r="A227" s="1">
        <v>45870</v>
      </c>
      <c r="B227" t="s">
        <v>13</v>
      </c>
      <c r="C227" t="s">
        <v>19</v>
      </c>
      <c r="D227" t="s">
        <v>15</v>
      </c>
      <c r="E227">
        <v>5500</v>
      </c>
    </row>
    <row r="228" spans="1:5" x14ac:dyDescent="0.3">
      <c r="A228" s="1">
        <v>45870</v>
      </c>
      <c r="B228" t="s">
        <v>20</v>
      </c>
      <c r="C228" t="s">
        <v>21</v>
      </c>
      <c r="D228" t="s">
        <v>22</v>
      </c>
      <c r="E228">
        <v>48000</v>
      </c>
    </row>
    <row r="229" spans="1:5" x14ac:dyDescent="0.3">
      <c r="A229" s="1">
        <v>45870</v>
      </c>
      <c r="B229" t="s">
        <v>20</v>
      </c>
      <c r="C229" t="s">
        <v>23</v>
      </c>
      <c r="D229" t="s">
        <v>7</v>
      </c>
      <c r="E229">
        <v>65000</v>
      </c>
    </row>
    <row r="230" spans="1:5" x14ac:dyDescent="0.3">
      <c r="A230" s="1">
        <v>45870</v>
      </c>
      <c r="B230" t="s">
        <v>20</v>
      </c>
      <c r="C230" t="s">
        <v>24</v>
      </c>
      <c r="D230" t="s">
        <v>22</v>
      </c>
      <c r="E230">
        <v>35000</v>
      </c>
    </row>
    <row r="231" spans="1:5" x14ac:dyDescent="0.3">
      <c r="A231" s="1">
        <v>45870</v>
      </c>
      <c r="B231" t="s">
        <v>20</v>
      </c>
      <c r="C231" t="s">
        <v>25</v>
      </c>
      <c r="D231" t="s">
        <v>7</v>
      </c>
      <c r="E231">
        <v>21000</v>
      </c>
    </row>
    <row r="232" spans="1:5" x14ac:dyDescent="0.3">
      <c r="A232" s="1">
        <v>45870</v>
      </c>
      <c r="B232" t="s">
        <v>20</v>
      </c>
      <c r="C232" t="s">
        <v>26</v>
      </c>
      <c r="D232" t="s">
        <v>22</v>
      </c>
      <c r="E232">
        <v>8500</v>
      </c>
    </row>
    <row r="233" spans="1:5" x14ac:dyDescent="0.3">
      <c r="A233" s="1">
        <v>45870</v>
      </c>
      <c r="B233" t="s">
        <v>20</v>
      </c>
      <c r="C233" t="s">
        <v>27</v>
      </c>
      <c r="D233" t="s">
        <v>22</v>
      </c>
      <c r="E233">
        <v>10000</v>
      </c>
    </row>
    <row r="234" spans="1:5" x14ac:dyDescent="0.3">
      <c r="A234" s="1">
        <v>45870</v>
      </c>
      <c r="B234" t="s">
        <v>20</v>
      </c>
      <c r="C234" t="s">
        <v>28</v>
      </c>
      <c r="D234" t="s">
        <v>7</v>
      </c>
      <c r="E234">
        <v>4500</v>
      </c>
    </row>
    <row r="235" spans="1:5" x14ac:dyDescent="0.3">
      <c r="A235" s="1">
        <v>45870</v>
      </c>
      <c r="B235" t="s">
        <v>29</v>
      </c>
      <c r="C235" t="s">
        <v>30</v>
      </c>
      <c r="D235" t="s">
        <v>31</v>
      </c>
      <c r="E235">
        <v>105000</v>
      </c>
    </row>
    <row r="236" spans="1:5" x14ac:dyDescent="0.3">
      <c r="A236" s="1">
        <v>45870</v>
      </c>
      <c r="B236" t="s">
        <v>29</v>
      </c>
      <c r="C236" t="s">
        <v>32</v>
      </c>
      <c r="D236" t="s">
        <v>33</v>
      </c>
      <c r="E236">
        <v>40000</v>
      </c>
    </row>
    <row r="237" spans="1:5" x14ac:dyDescent="0.3">
      <c r="A237" s="1">
        <v>45870</v>
      </c>
      <c r="B237" t="s">
        <v>29</v>
      </c>
      <c r="C237" t="s">
        <v>34</v>
      </c>
      <c r="D237" t="s">
        <v>31</v>
      </c>
      <c r="E237">
        <v>12000</v>
      </c>
    </row>
    <row r="238" spans="1:5" x14ac:dyDescent="0.3">
      <c r="A238" s="1">
        <v>45870</v>
      </c>
      <c r="B238" t="s">
        <v>29</v>
      </c>
      <c r="C238" t="s">
        <v>35</v>
      </c>
      <c r="D238" t="s">
        <v>31</v>
      </c>
      <c r="E238">
        <v>8500</v>
      </c>
    </row>
    <row r="239" spans="1:5" x14ac:dyDescent="0.3">
      <c r="A239" s="1">
        <v>45870</v>
      </c>
      <c r="B239" t="s">
        <v>29</v>
      </c>
      <c r="C239" t="s">
        <v>36</v>
      </c>
      <c r="D239" t="s">
        <v>31</v>
      </c>
      <c r="E239">
        <v>6500</v>
      </c>
    </row>
    <row r="240" spans="1:5" x14ac:dyDescent="0.3">
      <c r="A240" s="1">
        <v>45870</v>
      </c>
      <c r="B240" t="s">
        <v>37</v>
      </c>
      <c r="C240" t="s">
        <v>38</v>
      </c>
      <c r="D240" t="s">
        <v>39</v>
      </c>
      <c r="E240">
        <v>55000</v>
      </c>
    </row>
    <row r="241" spans="1:5" x14ac:dyDescent="0.3">
      <c r="A241" s="1">
        <v>45870</v>
      </c>
      <c r="B241" t="s">
        <v>37</v>
      </c>
      <c r="C241" t="s">
        <v>40</v>
      </c>
      <c r="D241" t="s">
        <v>18</v>
      </c>
      <c r="E241">
        <v>25000</v>
      </c>
    </row>
    <row r="242" spans="1:5" x14ac:dyDescent="0.3">
      <c r="A242" s="1">
        <v>45870</v>
      </c>
      <c r="B242" t="s">
        <v>37</v>
      </c>
      <c r="C242" t="s">
        <v>41</v>
      </c>
      <c r="D242" t="s">
        <v>15</v>
      </c>
      <c r="E242">
        <v>30000</v>
      </c>
    </row>
    <row r="243" spans="1:5" x14ac:dyDescent="0.3">
      <c r="A243" s="1">
        <v>45870</v>
      </c>
      <c r="B243" t="s">
        <v>37</v>
      </c>
      <c r="C243" t="s">
        <v>42</v>
      </c>
      <c r="D243" t="s">
        <v>15</v>
      </c>
      <c r="E243">
        <v>18000</v>
      </c>
    </row>
    <row r="244" spans="1:5" x14ac:dyDescent="0.3">
      <c r="A244" s="1">
        <v>45870</v>
      </c>
      <c r="B244" t="s">
        <v>37</v>
      </c>
      <c r="C244" t="s">
        <v>43</v>
      </c>
      <c r="D244" t="s">
        <v>18</v>
      </c>
      <c r="E244">
        <v>8500</v>
      </c>
    </row>
    <row r="245" spans="1:5" x14ac:dyDescent="0.3">
      <c r="A245" s="1">
        <v>45870</v>
      </c>
      <c r="B245" t="s">
        <v>37</v>
      </c>
      <c r="C245" t="s">
        <v>44</v>
      </c>
      <c r="D245" t="s">
        <v>18</v>
      </c>
      <c r="E245">
        <v>7500</v>
      </c>
    </row>
    <row r="246" spans="1:5" x14ac:dyDescent="0.3">
      <c r="A246" s="1">
        <v>45870</v>
      </c>
      <c r="B246" t="s">
        <v>37</v>
      </c>
      <c r="C246" t="s">
        <v>45</v>
      </c>
      <c r="D246" t="s">
        <v>15</v>
      </c>
      <c r="E246">
        <v>12000</v>
      </c>
    </row>
    <row r="247" spans="1:5" x14ac:dyDescent="0.3">
      <c r="A247" s="1">
        <v>45870</v>
      </c>
      <c r="B247" t="s">
        <v>37</v>
      </c>
      <c r="C247" t="s">
        <v>46</v>
      </c>
      <c r="D247" t="s">
        <v>18</v>
      </c>
      <c r="E247">
        <v>4500</v>
      </c>
    </row>
    <row r="248" spans="1:5" x14ac:dyDescent="0.3">
      <c r="A248" s="1">
        <v>45870</v>
      </c>
      <c r="B248" t="s">
        <v>37</v>
      </c>
      <c r="C248" t="s">
        <v>47</v>
      </c>
      <c r="D248" t="s">
        <v>15</v>
      </c>
      <c r="E248">
        <v>6000</v>
      </c>
    </row>
    <row r="249" spans="1:5" x14ac:dyDescent="0.3">
      <c r="A249" s="1">
        <v>45870</v>
      </c>
      <c r="B249" t="s">
        <v>37</v>
      </c>
      <c r="C249" t="s">
        <v>48</v>
      </c>
      <c r="D249" t="s">
        <v>15</v>
      </c>
      <c r="E249">
        <v>2500</v>
      </c>
    </row>
    <row r="250" spans="1:5" x14ac:dyDescent="0.3">
      <c r="A250" s="1">
        <v>45901</v>
      </c>
      <c r="B250" t="s">
        <v>5</v>
      </c>
      <c r="C250" t="s">
        <v>6</v>
      </c>
      <c r="D250" t="s">
        <v>7</v>
      </c>
      <c r="E250">
        <v>43000</v>
      </c>
    </row>
    <row r="251" spans="1:5" x14ac:dyDescent="0.3">
      <c r="A251" s="1">
        <v>45901</v>
      </c>
      <c r="B251" t="s">
        <v>5</v>
      </c>
      <c r="C251" t="s">
        <v>8</v>
      </c>
      <c r="D251" t="s">
        <v>7</v>
      </c>
      <c r="E251">
        <v>82000</v>
      </c>
    </row>
    <row r="252" spans="1:5" x14ac:dyDescent="0.3">
      <c r="A252" s="1">
        <v>45901</v>
      </c>
      <c r="B252" t="s">
        <v>5</v>
      </c>
      <c r="C252" t="s">
        <v>9</v>
      </c>
      <c r="D252" t="s">
        <v>7</v>
      </c>
      <c r="E252">
        <v>115000</v>
      </c>
    </row>
    <row r="253" spans="1:5" x14ac:dyDescent="0.3">
      <c r="A253" s="1">
        <v>45901</v>
      </c>
      <c r="B253" t="s">
        <v>5</v>
      </c>
      <c r="C253" t="s">
        <v>10</v>
      </c>
      <c r="D253" t="s">
        <v>11</v>
      </c>
      <c r="E253">
        <v>24000</v>
      </c>
    </row>
    <row r="254" spans="1:5" x14ac:dyDescent="0.3">
      <c r="A254" s="1">
        <v>45901</v>
      </c>
      <c r="B254" t="s">
        <v>5</v>
      </c>
      <c r="C254" t="s">
        <v>12</v>
      </c>
      <c r="D254" t="s">
        <v>11</v>
      </c>
      <c r="E254">
        <v>7500</v>
      </c>
    </row>
    <row r="255" spans="1:5" x14ac:dyDescent="0.3">
      <c r="A255" s="1">
        <v>45901</v>
      </c>
      <c r="B255" t="s">
        <v>13</v>
      </c>
      <c r="C255" t="s">
        <v>14</v>
      </c>
      <c r="D255" t="s">
        <v>15</v>
      </c>
      <c r="E255">
        <v>30000</v>
      </c>
    </row>
    <row r="256" spans="1:5" x14ac:dyDescent="0.3">
      <c r="A256" s="1">
        <v>45901</v>
      </c>
      <c r="B256" t="s">
        <v>13</v>
      </c>
      <c r="C256" t="s">
        <v>16</v>
      </c>
      <c r="D256" t="s">
        <v>11</v>
      </c>
      <c r="E256">
        <v>28000</v>
      </c>
    </row>
    <row r="257" spans="1:5" x14ac:dyDescent="0.3">
      <c r="A257" s="1">
        <v>45901</v>
      </c>
      <c r="B257" t="s">
        <v>13</v>
      </c>
      <c r="C257" t="s">
        <v>17</v>
      </c>
      <c r="D257" t="s">
        <v>18</v>
      </c>
      <c r="E257">
        <v>7800</v>
      </c>
    </row>
    <row r="258" spans="1:5" x14ac:dyDescent="0.3">
      <c r="A258" s="1">
        <v>45901</v>
      </c>
      <c r="B258" t="s">
        <v>13</v>
      </c>
      <c r="C258" t="s">
        <v>19</v>
      </c>
      <c r="D258" t="s">
        <v>15</v>
      </c>
      <c r="E258">
        <v>5500</v>
      </c>
    </row>
    <row r="259" spans="1:5" x14ac:dyDescent="0.3">
      <c r="A259" s="1">
        <v>45901</v>
      </c>
      <c r="B259" t="s">
        <v>20</v>
      </c>
      <c r="C259" t="s">
        <v>21</v>
      </c>
      <c r="D259" t="s">
        <v>22</v>
      </c>
      <c r="E259">
        <v>48000</v>
      </c>
    </row>
    <row r="260" spans="1:5" x14ac:dyDescent="0.3">
      <c r="A260" s="1">
        <v>45901</v>
      </c>
      <c r="B260" t="s">
        <v>20</v>
      </c>
      <c r="C260" t="s">
        <v>23</v>
      </c>
      <c r="D260" t="s">
        <v>7</v>
      </c>
      <c r="E260">
        <v>65000</v>
      </c>
    </row>
    <row r="261" spans="1:5" x14ac:dyDescent="0.3">
      <c r="A261" s="1">
        <v>45901</v>
      </c>
      <c r="B261" t="s">
        <v>20</v>
      </c>
      <c r="C261" t="s">
        <v>24</v>
      </c>
      <c r="D261" t="s">
        <v>22</v>
      </c>
      <c r="E261">
        <v>35000</v>
      </c>
    </row>
    <row r="262" spans="1:5" x14ac:dyDescent="0.3">
      <c r="A262" s="1">
        <v>45901</v>
      </c>
      <c r="B262" t="s">
        <v>20</v>
      </c>
      <c r="C262" t="s">
        <v>25</v>
      </c>
      <c r="D262" t="s">
        <v>7</v>
      </c>
      <c r="E262">
        <v>21000</v>
      </c>
    </row>
    <row r="263" spans="1:5" x14ac:dyDescent="0.3">
      <c r="A263" s="1">
        <v>45901</v>
      </c>
      <c r="B263" t="s">
        <v>20</v>
      </c>
      <c r="C263" t="s">
        <v>26</v>
      </c>
      <c r="D263" t="s">
        <v>22</v>
      </c>
      <c r="E263">
        <v>8500</v>
      </c>
    </row>
    <row r="264" spans="1:5" x14ac:dyDescent="0.3">
      <c r="A264" s="1">
        <v>45901</v>
      </c>
      <c r="B264" t="s">
        <v>20</v>
      </c>
      <c r="C264" t="s">
        <v>27</v>
      </c>
      <c r="D264" t="s">
        <v>22</v>
      </c>
      <c r="E264">
        <v>10000</v>
      </c>
    </row>
    <row r="265" spans="1:5" x14ac:dyDescent="0.3">
      <c r="A265" s="1">
        <v>45901</v>
      </c>
      <c r="B265" t="s">
        <v>20</v>
      </c>
      <c r="C265" t="s">
        <v>28</v>
      </c>
      <c r="D265" t="s">
        <v>7</v>
      </c>
      <c r="E265">
        <v>4500</v>
      </c>
    </row>
    <row r="266" spans="1:5" x14ac:dyDescent="0.3">
      <c r="A266" s="1">
        <v>45901</v>
      </c>
      <c r="B266" t="s">
        <v>29</v>
      </c>
      <c r="C266" t="s">
        <v>30</v>
      </c>
      <c r="D266" t="s">
        <v>31</v>
      </c>
      <c r="E266">
        <v>105000</v>
      </c>
    </row>
    <row r="267" spans="1:5" x14ac:dyDescent="0.3">
      <c r="A267" s="1">
        <v>45901</v>
      </c>
      <c r="B267" t="s">
        <v>29</v>
      </c>
      <c r="C267" t="s">
        <v>32</v>
      </c>
      <c r="D267" t="s">
        <v>33</v>
      </c>
      <c r="E267">
        <v>40000</v>
      </c>
    </row>
    <row r="268" spans="1:5" x14ac:dyDescent="0.3">
      <c r="A268" s="1">
        <v>45901</v>
      </c>
      <c r="B268" t="s">
        <v>29</v>
      </c>
      <c r="C268" t="s">
        <v>34</v>
      </c>
      <c r="D268" t="s">
        <v>31</v>
      </c>
      <c r="E268">
        <v>12000</v>
      </c>
    </row>
    <row r="269" spans="1:5" x14ac:dyDescent="0.3">
      <c r="A269" s="1">
        <v>45901</v>
      </c>
      <c r="B269" t="s">
        <v>29</v>
      </c>
      <c r="C269" t="s">
        <v>35</v>
      </c>
      <c r="D269" t="s">
        <v>31</v>
      </c>
      <c r="E269">
        <v>8500</v>
      </c>
    </row>
    <row r="270" spans="1:5" x14ac:dyDescent="0.3">
      <c r="A270" s="1">
        <v>45901</v>
      </c>
      <c r="B270" t="s">
        <v>29</v>
      </c>
      <c r="C270" t="s">
        <v>36</v>
      </c>
      <c r="D270" t="s">
        <v>31</v>
      </c>
      <c r="E270">
        <v>6500</v>
      </c>
    </row>
    <row r="271" spans="1:5" x14ac:dyDescent="0.3">
      <c r="A271" s="1">
        <v>45901</v>
      </c>
      <c r="B271" t="s">
        <v>37</v>
      </c>
      <c r="C271" t="s">
        <v>38</v>
      </c>
      <c r="D271" t="s">
        <v>39</v>
      </c>
      <c r="E271">
        <v>55000</v>
      </c>
    </row>
    <row r="272" spans="1:5" x14ac:dyDescent="0.3">
      <c r="A272" s="1">
        <v>45901</v>
      </c>
      <c r="B272" t="s">
        <v>37</v>
      </c>
      <c r="C272" t="s">
        <v>40</v>
      </c>
      <c r="D272" t="s">
        <v>18</v>
      </c>
      <c r="E272">
        <v>25000</v>
      </c>
    </row>
    <row r="273" spans="1:5" x14ac:dyDescent="0.3">
      <c r="A273" s="1">
        <v>45901</v>
      </c>
      <c r="B273" t="s">
        <v>37</v>
      </c>
      <c r="C273" t="s">
        <v>41</v>
      </c>
      <c r="D273" t="s">
        <v>15</v>
      </c>
      <c r="E273">
        <v>30000</v>
      </c>
    </row>
    <row r="274" spans="1:5" x14ac:dyDescent="0.3">
      <c r="A274" s="1">
        <v>45901</v>
      </c>
      <c r="B274" t="s">
        <v>37</v>
      </c>
      <c r="C274" t="s">
        <v>42</v>
      </c>
      <c r="D274" t="s">
        <v>15</v>
      </c>
      <c r="E274">
        <v>18000</v>
      </c>
    </row>
    <row r="275" spans="1:5" x14ac:dyDescent="0.3">
      <c r="A275" s="1">
        <v>45901</v>
      </c>
      <c r="B275" t="s">
        <v>37</v>
      </c>
      <c r="C275" t="s">
        <v>43</v>
      </c>
      <c r="D275" t="s">
        <v>18</v>
      </c>
      <c r="E275">
        <v>8500</v>
      </c>
    </row>
    <row r="276" spans="1:5" x14ac:dyDescent="0.3">
      <c r="A276" s="1">
        <v>45901</v>
      </c>
      <c r="B276" t="s">
        <v>37</v>
      </c>
      <c r="C276" t="s">
        <v>44</v>
      </c>
      <c r="D276" t="s">
        <v>18</v>
      </c>
      <c r="E276">
        <v>7500</v>
      </c>
    </row>
    <row r="277" spans="1:5" x14ac:dyDescent="0.3">
      <c r="A277" s="1">
        <v>45901</v>
      </c>
      <c r="B277" t="s">
        <v>37</v>
      </c>
      <c r="C277" t="s">
        <v>45</v>
      </c>
      <c r="D277" t="s">
        <v>15</v>
      </c>
      <c r="E277">
        <v>12000</v>
      </c>
    </row>
    <row r="278" spans="1:5" x14ac:dyDescent="0.3">
      <c r="A278" s="1">
        <v>45901</v>
      </c>
      <c r="B278" t="s">
        <v>37</v>
      </c>
      <c r="C278" t="s">
        <v>46</v>
      </c>
      <c r="D278" t="s">
        <v>18</v>
      </c>
      <c r="E278">
        <v>4500</v>
      </c>
    </row>
    <row r="279" spans="1:5" x14ac:dyDescent="0.3">
      <c r="A279" s="1">
        <v>45901</v>
      </c>
      <c r="B279" t="s">
        <v>37</v>
      </c>
      <c r="C279" t="s">
        <v>47</v>
      </c>
      <c r="D279" t="s">
        <v>15</v>
      </c>
      <c r="E279">
        <v>6000</v>
      </c>
    </row>
    <row r="280" spans="1:5" x14ac:dyDescent="0.3">
      <c r="A280" s="1">
        <v>45901</v>
      </c>
      <c r="B280" t="s">
        <v>37</v>
      </c>
      <c r="C280" t="s">
        <v>48</v>
      </c>
      <c r="D280" t="s">
        <v>15</v>
      </c>
      <c r="E280">
        <v>2500</v>
      </c>
    </row>
    <row r="281" spans="1:5" x14ac:dyDescent="0.3">
      <c r="A281" s="1">
        <v>45931</v>
      </c>
      <c r="B281" t="s">
        <v>5</v>
      </c>
      <c r="C281" t="s">
        <v>6</v>
      </c>
      <c r="D281" t="s">
        <v>7</v>
      </c>
      <c r="E281">
        <v>43000</v>
      </c>
    </row>
    <row r="282" spans="1:5" x14ac:dyDescent="0.3">
      <c r="A282" s="1">
        <v>45931</v>
      </c>
      <c r="B282" t="s">
        <v>5</v>
      </c>
      <c r="C282" t="s">
        <v>8</v>
      </c>
      <c r="D282" t="s">
        <v>7</v>
      </c>
      <c r="E282">
        <v>82000</v>
      </c>
    </row>
    <row r="283" spans="1:5" x14ac:dyDescent="0.3">
      <c r="A283" s="1">
        <v>45931</v>
      </c>
      <c r="B283" t="s">
        <v>5</v>
      </c>
      <c r="C283" t="s">
        <v>9</v>
      </c>
      <c r="D283" t="s">
        <v>7</v>
      </c>
      <c r="E283">
        <v>115000</v>
      </c>
    </row>
    <row r="284" spans="1:5" x14ac:dyDescent="0.3">
      <c r="A284" s="1">
        <v>45931</v>
      </c>
      <c r="B284" t="s">
        <v>5</v>
      </c>
      <c r="C284" t="s">
        <v>10</v>
      </c>
      <c r="D284" t="s">
        <v>11</v>
      </c>
      <c r="E284">
        <v>24000</v>
      </c>
    </row>
    <row r="285" spans="1:5" x14ac:dyDescent="0.3">
      <c r="A285" s="1">
        <v>45931</v>
      </c>
      <c r="B285" t="s">
        <v>5</v>
      </c>
      <c r="C285" t="s">
        <v>12</v>
      </c>
      <c r="D285" t="s">
        <v>11</v>
      </c>
      <c r="E285">
        <v>7500</v>
      </c>
    </row>
    <row r="286" spans="1:5" x14ac:dyDescent="0.3">
      <c r="A286" s="1">
        <v>45931</v>
      </c>
      <c r="B286" t="s">
        <v>13</v>
      </c>
      <c r="C286" t="s">
        <v>14</v>
      </c>
      <c r="D286" t="s">
        <v>15</v>
      </c>
      <c r="E286">
        <v>30000</v>
      </c>
    </row>
    <row r="287" spans="1:5" x14ac:dyDescent="0.3">
      <c r="A287" s="1">
        <v>45931</v>
      </c>
      <c r="B287" t="s">
        <v>13</v>
      </c>
      <c r="C287" t="s">
        <v>16</v>
      </c>
      <c r="D287" t="s">
        <v>11</v>
      </c>
      <c r="E287">
        <v>28000</v>
      </c>
    </row>
    <row r="288" spans="1:5" x14ac:dyDescent="0.3">
      <c r="A288" s="1">
        <v>45931</v>
      </c>
      <c r="B288" t="s">
        <v>13</v>
      </c>
      <c r="C288" t="s">
        <v>17</v>
      </c>
      <c r="D288" t="s">
        <v>18</v>
      </c>
      <c r="E288">
        <v>7800</v>
      </c>
    </row>
    <row r="289" spans="1:5" x14ac:dyDescent="0.3">
      <c r="A289" s="1">
        <v>45931</v>
      </c>
      <c r="B289" t="s">
        <v>13</v>
      </c>
      <c r="C289" t="s">
        <v>19</v>
      </c>
      <c r="D289" t="s">
        <v>15</v>
      </c>
      <c r="E289">
        <v>5500</v>
      </c>
    </row>
    <row r="290" spans="1:5" x14ac:dyDescent="0.3">
      <c r="A290" s="1">
        <v>45931</v>
      </c>
      <c r="B290" t="s">
        <v>20</v>
      </c>
      <c r="C290" t="s">
        <v>21</v>
      </c>
      <c r="D290" t="s">
        <v>22</v>
      </c>
      <c r="E290">
        <v>48000</v>
      </c>
    </row>
    <row r="291" spans="1:5" x14ac:dyDescent="0.3">
      <c r="A291" s="1">
        <v>45931</v>
      </c>
      <c r="B291" t="s">
        <v>20</v>
      </c>
      <c r="C291" t="s">
        <v>23</v>
      </c>
      <c r="D291" t="s">
        <v>7</v>
      </c>
      <c r="E291">
        <v>65000</v>
      </c>
    </row>
    <row r="292" spans="1:5" x14ac:dyDescent="0.3">
      <c r="A292" s="1">
        <v>45931</v>
      </c>
      <c r="B292" t="s">
        <v>20</v>
      </c>
      <c r="C292" t="s">
        <v>24</v>
      </c>
      <c r="D292" t="s">
        <v>22</v>
      </c>
      <c r="E292">
        <v>35000</v>
      </c>
    </row>
    <row r="293" spans="1:5" x14ac:dyDescent="0.3">
      <c r="A293" s="1">
        <v>45931</v>
      </c>
      <c r="B293" t="s">
        <v>20</v>
      </c>
      <c r="C293" t="s">
        <v>25</v>
      </c>
      <c r="D293" t="s">
        <v>7</v>
      </c>
      <c r="E293">
        <v>21000</v>
      </c>
    </row>
    <row r="294" spans="1:5" x14ac:dyDescent="0.3">
      <c r="A294" s="1">
        <v>45931</v>
      </c>
      <c r="B294" t="s">
        <v>20</v>
      </c>
      <c r="C294" t="s">
        <v>26</v>
      </c>
      <c r="D294" t="s">
        <v>22</v>
      </c>
      <c r="E294">
        <v>8500</v>
      </c>
    </row>
    <row r="295" spans="1:5" x14ac:dyDescent="0.3">
      <c r="A295" s="1">
        <v>45931</v>
      </c>
      <c r="B295" t="s">
        <v>20</v>
      </c>
      <c r="C295" t="s">
        <v>27</v>
      </c>
      <c r="D295" t="s">
        <v>22</v>
      </c>
      <c r="E295">
        <v>10000</v>
      </c>
    </row>
    <row r="296" spans="1:5" x14ac:dyDescent="0.3">
      <c r="A296" s="1">
        <v>45931</v>
      </c>
      <c r="B296" t="s">
        <v>20</v>
      </c>
      <c r="C296" t="s">
        <v>28</v>
      </c>
      <c r="D296" t="s">
        <v>7</v>
      </c>
      <c r="E296">
        <v>4500</v>
      </c>
    </row>
    <row r="297" spans="1:5" x14ac:dyDescent="0.3">
      <c r="A297" s="1">
        <v>45931</v>
      </c>
      <c r="B297" t="s">
        <v>29</v>
      </c>
      <c r="C297" t="s">
        <v>30</v>
      </c>
      <c r="D297" t="s">
        <v>31</v>
      </c>
      <c r="E297">
        <v>105000</v>
      </c>
    </row>
    <row r="298" spans="1:5" x14ac:dyDescent="0.3">
      <c r="A298" s="1">
        <v>45931</v>
      </c>
      <c r="B298" t="s">
        <v>29</v>
      </c>
      <c r="C298" t="s">
        <v>32</v>
      </c>
      <c r="D298" t="s">
        <v>33</v>
      </c>
      <c r="E298">
        <v>40000</v>
      </c>
    </row>
    <row r="299" spans="1:5" x14ac:dyDescent="0.3">
      <c r="A299" s="1">
        <v>45931</v>
      </c>
      <c r="B299" t="s">
        <v>29</v>
      </c>
      <c r="C299" t="s">
        <v>34</v>
      </c>
      <c r="D299" t="s">
        <v>31</v>
      </c>
      <c r="E299">
        <v>12000</v>
      </c>
    </row>
    <row r="300" spans="1:5" x14ac:dyDescent="0.3">
      <c r="A300" s="1">
        <v>45931</v>
      </c>
      <c r="B300" t="s">
        <v>29</v>
      </c>
      <c r="C300" t="s">
        <v>35</v>
      </c>
      <c r="D300" t="s">
        <v>31</v>
      </c>
      <c r="E300">
        <v>8500</v>
      </c>
    </row>
    <row r="301" spans="1:5" x14ac:dyDescent="0.3">
      <c r="A301" s="1">
        <v>45931</v>
      </c>
      <c r="B301" t="s">
        <v>29</v>
      </c>
      <c r="C301" t="s">
        <v>36</v>
      </c>
      <c r="D301" t="s">
        <v>31</v>
      </c>
      <c r="E301">
        <v>6500</v>
      </c>
    </row>
    <row r="302" spans="1:5" x14ac:dyDescent="0.3">
      <c r="A302" s="1">
        <v>45931</v>
      </c>
      <c r="B302" t="s">
        <v>37</v>
      </c>
      <c r="C302" t="s">
        <v>38</v>
      </c>
      <c r="D302" t="s">
        <v>39</v>
      </c>
      <c r="E302">
        <v>55000</v>
      </c>
    </row>
    <row r="303" spans="1:5" x14ac:dyDescent="0.3">
      <c r="A303" s="1">
        <v>45931</v>
      </c>
      <c r="B303" t="s">
        <v>37</v>
      </c>
      <c r="C303" t="s">
        <v>40</v>
      </c>
      <c r="D303" t="s">
        <v>18</v>
      </c>
      <c r="E303">
        <v>25000</v>
      </c>
    </row>
    <row r="304" spans="1:5" x14ac:dyDescent="0.3">
      <c r="A304" s="1">
        <v>45931</v>
      </c>
      <c r="B304" t="s">
        <v>37</v>
      </c>
      <c r="C304" t="s">
        <v>41</v>
      </c>
      <c r="D304" t="s">
        <v>15</v>
      </c>
      <c r="E304">
        <v>30000</v>
      </c>
    </row>
    <row r="305" spans="1:5" x14ac:dyDescent="0.3">
      <c r="A305" s="1">
        <v>45931</v>
      </c>
      <c r="B305" t="s">
        <v>37</v>
      </c>
      <c r="C305" t="s">
        <v>42</v>
      </c>
      <c r="D305" t="s">
        <v>15</v>
      </c>
      <c r="E305">
        <v>18000</v>
      </c>
    </row>
    <row r="306" spans="1:5" x14ac:dyDescent="0.3">
      <c r="A306" s="1">
        <v>45931</v>
      </c>
      <c r="B306" t="s">
        <v>37</v>
      </c>
      <c r="C306" t="s">
        <v>43</v>
      </c>
      <c r="D306" t="s">
        <v>18</v>
      </c>
      <c r="E306">
        <v>8500</v>
      </c>
    </row>
    <row r="307" spans="1:5" x14ac:dyDescent="0.3">
      <c r="A307" s="1">
        <v>45931</v>
      </c>
      <c r="B307" t="s">
        <v>37</v>
      </c>
      <c r="C307" t="s">
        <v>44</v>
      </c>
      <c r="D307" t="s">
        <v>18</v>
      </c>
      <c r="E307">
        <v>7500</v>
      </c>
    </row>
    <row r="308" spans="1:5" x14ac:dyDescent="0.3">
      <c r="A308" s="1">
        <v>45931</v>
      </c>
      <c r="B308" t="s">
        <v>37</v>
      </c>
      <c r="C308" t="s">
        <v>45</v>
      </c>
      <c r="D308" t="s">
        <v>15</v>
      </c>
      <c r="E308">
        <v>12000</v>
      </c>
    </row>
    <row r="309" spans="1:5" x14ac:dyDescent="0.3">
      <c r="A309" s="1">
        <v>45931</v>
      </c>
      <c r="B309" t="s">
        <v>37</v>
      </c>
      <c r="C309" t="s">
        <v>46</v>
      </c>
      <c r="D309" t="s">
        <v>18</v>
      </c>
      <c r="E309">
        <v>4500</v>
      </c>
    </row>
    <row r="310" spans="1:5" x14ac:dyDescent="0.3">
      <c r="A310" s="1">
        <v>45931</v>
      </c>
      <c r="B310" t="s">
        <v>37</v>
      </c>
      <c r="C310" t="s">
        <v>47</v>
      </c>
      <c r="D310" t="s">
        <v>15</v>
      </c>
      <c r="E310">
        <v>6000</v>
      </c>
    </row>
    <row r="311" spans="1:5" x14ac:dyDescent="0.3">
      <c r="A311" s="1">
        <v>45931</v>
      </c>
      <c r="B311" t="s">
        <v>37</v>
      </c>
      <c r="C311" t="s">
        <v>48</v>
      </c>
      <c r="D311" t="s">
        <v>15</v>
      </c>
      <c r="E311">
        <v>2500</v>
      </c>
    </row>
    <row r="312" spans="1:5" x14ac:dyDescent="0.3">
      <c r="A312" s="1">
        <v>45962</v>
      </c>
      <c r="B312" t="s">
        <v>5</v>
      </c>
      <c r="C312" t="s">
        <v>6</v>
      </c>
      <c r="D312" t="s">
        <v>7</v>
      </c>
      <c r="E312">
        <v>43000</v>
      </c>
    </row>
    <row r="313" spans="1:5" x14ac:dyDescent="0.3">
      <c r="A313" s="1">
        <v>45962</v>
      </c>
      <c r="B313" t="s">
        <v>5</v>
      </c>
      <c r="C313" t="s">
        <v>8</v>
      </c>
      <c r="D313" t="s">
        <v>7</v>
      </c>
      <c r="E313">
        <v>82000</v>
      </c>
    </row>
    <row r="314" spans="1:5" x14ac:dyDescent="0.3">
      <c r="A314" s="1">
        <v>45962</v>
      </c>
      <c r="B314" t="s">
        <v>5</v>
      </c>
      <c r="C314" t="s">
        <v>9</v>
      </c>
      <c r="D314" t="s">
        <v>7</v>
      </c>
      <c r="E314">
        <v>115000</v>
      </c>
    </row>
    <row r="315" spans="1:5" x14ac:dyDescent="0.3">
      <c r="A315" s="1">
        <v>45962</v>
      </c>
      <c r="B315" t="s">
        <v>5</v>
      </c>
      <c r="C315" t="s">
        <v>10</v>
      </c>
      <c r="D315" t="s">
        <v>11</v>
      </c>
      <c r="E315">
        <v>24000</v>
      </c>
    </row>
    <row r="316" spans="1:5" x14ac:dyDescent="0.3">
      <c r="A316" s="1">
        <v>45962</v>
      </c>
      <c r="B316" t="s">
        <v>5</v>
      </c>
      <c r="C316" t="s">
        <v>12</v>
      </c>
      <c r="D316" t="s">
        <v>11</v>
      </c>
      <c r="E316">
        <v>7500</v>
      </c>
    </row>
    <row r="317" spans="1:5" x14ac:dyDescent="0.3">
      <c r="A317" s="1">
        <v>45962</v>
      </c>
      <c r="B317" t="s">
        <v>13</v>
      </c>
      <c r="C317" t="s">
        <v>14</v>
      </c>
      <c r="D317" t="s">
        <v>15</v>
      </c>
      <c r="E317">
        <v>30000</v>
      </c>
    </row>
    <row r="318" spans="1:5" x14ac:dyDescent="0.3">
      <c r="A318" s="1">
        <v>45962</v>
      </c>
      <c r="B318" t="s">
        <v>13</v>
      </c>
      <c r="C318" t="s">
        <v>16</v>
      </c>
      <c r="D318" t="s">
        <v>11</v>
      </c>
      <c r="E318">
        <v>28000</v>
      </c>
    </row>
    <row r="319" spans="1:5" x14ac:dyDescent="0.3">
      <c r="A319" s="1">
        <v>45962</v>
      </c>
      <c r="B319" t="s">
        <v>13</v>
      </c>
      <c r="C319" t="s">
        <v>17</v>
      </c>
      <c r="D319" t="s">
        <v>18</v>
      </c>
      <c r="E319">
        <v>7800</v>
      </c>
    </row>
    <row r="320" spans="1:5" x14ac:dyDescent="0.3">
      <c r="A320" s="1">
        <v>45962</v>
      </c>
      <c r="B320" t="s">
        <v>13</v>
      </c>
      <c r="C320" t="s">
        <v>19</v>
      </c>
      <c r="D320" t="s">
        <v>15</v>
      </c>
      <c r="E320">
        <v>5500</v>
      </c>
    </row>
    <row r="321" spans="1:5" x14ac:dyDescent="0.3">
      <c r="A321" s="1">
        <v>45962</v>
      </c>
      <c r="B321" t="s">
        <v>20</v>
      </c>
      <c r="C321" t="s">
        <v>21</v>
      </c>
      <c r="D321" t="s">
        <v>22</v>
      </c>
      <c r="E321">
        <v>48000</v>
      </c>
    </row>
    <row r="322" spans="1:5" x14ac:dyDescent="0.3">
      <c r="A322" s="1">
        <v>45962</v>
      </c>
      <c r="B322" t="s">
        <v>20</v>
      </c>
      <c r="C322" t="s">
        <v>23</v>
      </c>
      <c r="D322" t="s">
        <v>7</v>
      </c>
      <c r="E322">
        <v>65000</v>
      </c>
    </row>
    <row r="323" spans="1:5" x14ac:dyDescent="0.3">
      <c r="A323" s="1">
        <v>45962</v>
      </c>
      <c r="B323" t="s">
        <v>20</v>
      </c>
      <c r="C323" t="s">
        <v>24</v>
      </c>
      <c r="D323" t="s">
        <v>22</v>
      </c>
      <c r="E323">
        <v>35000</v>
      </c>
    </row>
    <row r="324" spans="1:5" x14ac:dyDescent="0.3">
      <c r="A324" s="1">
        <v>45962</v>
      </c>
      <c r="B324" t="s">
        <v>20</v>
      </c>
      <c r="C324" t="s">
        <v>25</v>
      </c>
      <c r="D324" t="s">
        <v>7</v>
      </c>
      <c r="E324">
        <v>21000</v>
      </c>
    </row>
    <row r="325" spans="1:5" x14ac:dyDescent="0.3">
      <c r="A325" s="1">
        <v>45962</v>
      </c>
      <c r="B325" t="s">
        <v>20</v>
      </c>
      <c r="C325" t="s">
        <v>26</v>
      </c>
      <c r="D325" t="s">
        <v>22</v>
      </c>
      <c r="E325">
        <v>8500</v>
      </c>
    </row>
    <row r="326" spans="1:5" x14ac:dyDescent="0.3">
      <c r="A326" s="1">
        <v>45962</v>
      </c>
      <c r="B326" t="s">
        <v>20</v>
      </c>
      <c r="C326" t="s">
        <v>27</v>
      </c>
      <c r="D326" t="s">
        <v>22</v>
      </c>
      <c r="E326">
        <v>10000</v>
      </c>
    </row>
    <row r="327" spans="1:5" x14ac:dyDescent="0.3">
      <c r="A327" s="1">
        <v>45962</v>
      </c>
      <c r="B327" t="s">
        <v>20</v>
      </c>
      <c r="C327" t="s">
        <v>28</v>
      </c>
      <c r="D327" t="s">
        <v>7</v>
      </c>
      <c r="E327">
        <v>4500</v>
      </c>
    </row>
    <row r="328" spans="1:5" x14ac:dyDescent="0.3">
      <c r="A328" s="1">
        <v>45962</v>
      </c>
      <c r="B328" t="s">
        <v>29</v>
      </c>
      <c r="C328" t="s">
        <v>30</v>
      </c>
      <c r="D328" t="s">
        <v>31</v>
      </c>
      <c r="E328">
        <v>105000</v>
      </c>
    </row>
    <row r="329" spans="1:5" x14ac:dyDescent="0.3">
      <c r="A329" s="1">
        <v>45962</v>
      </c>
      <c r="B329" t="s">
        <v>29</v>
      </c>
      <c r="C329" t="s">
        <v>32</v>
      </c>
      <c r="D329" t="s">
        <v>33</v>
      </c>
      <c r="E329">
        <v>40000</v>
      </c>
    </row>
    <row r="330" spans="1:5" x14ac:dyDescent="0.3">
      <c r="A330" s="1">
        <v>45962</v>
      </c>
      <c r="B330" t="s">
        <v>29</v>
      </c>
      <c r="C330" t="s">
        <v>34</v>
      </c>
      <c r="D330" t="s">
        <v>31</v>
      </c>
      <c r="E330">
        <v>12000</v>
      </c>
    </row>
    <row r="331" spans="1:5" x14ac:dyDescent="0.3">
      <c r="A331" s="1">
        <v>45962</v>
      </c>
      <c r="B331" t="s">
        <v>29</v>
      </c>
      <c r="C331" t="s">
        <v>35</v>
      </c>
      <c r="D331" t="s">
        <v>31</v>
      </c>
      <c r="E331">
        <v>8500</v>
      </c>
    </row>
    <row r="332" spans="1:5" x14ac:dyDescent="0.3">
      <c r="A332" s="1">
        <v>45962</v>
      </c>
      <c r="B332" t="s">
        <v>29</v>
      </c>
      <c r="C332" t="s">
        <v>36</v>
      </c>
      <c r="D332" t="s">
        <v>31</v>
      </c>
      <c r="E332">
        <v>6500</v>
      </c>
    </row>
    <row r="333" spans="1:5" x14ac:dyDescent="0.3">
      <c r="A333" s="1">
        <v>45962</v>
      </c>
      <c r="B333" t="s">
        <v>37</v>
      </c>
      <c r="C333" t="s">
        <v>38</v>
      </c>
      <c r="D333" t="s">
        <v>39</v>
      </c>
      <c r="E333">
        <v>55000</v>
      </c>
    </row>
    <row r="334" spans="1:5" x14ac:dyDescent="0.3">
      <c r="A334" s="1">
        <v>45962</v>
      </c>
      <c r="B334" t="s">
        <v>37</v>
      </c>
      <c r="C334" t="s">
        <v>40</v>
      </c>
      <c r="D334" t="s">
        <v>18</v>
      </c>
      <c r="E334">
        <v>25000</v>
      </c>
    </row>
    <row r="335" spans="1:5" x14ac:dyDescent="0.3">
      <c r="A335" s="1">
        <v>45962</v>
      </c>
      <c r="B335" t="s">
        <v>37</v>
      </c>
      <c r="C335" t="s">
        <v>41</v>
      </c>
      <c r="D335" t="s">
        <v>15</v>
      </c>
      <c r="E335">
        <v>30000</v>
      </c>
    </row>
    <row r="336" spans="1:5" x14ac:dyDescent="0.3">
      <c r="A336" s="1">
        <v>45962</v>
      </c>
      <c r="B336" t="s">
        <v>37</v>
      </c>
      <c r="C336" t="s">
        <v>42</v>
      </c>
      <c r="D336" t="s">
        <v>15</v>
      </c>
      <c r="E336">
        <v>18000</v>
      </c>
    </row>
    <row r="337" spans="1:5" x14ac:dyDescent="0.3">
      <c r="A337" s="1">
        <v>45962</v>
      </c>
      <c r="B337" t="s">
        <v>37</v>
      </c>
      <c r="C337" t="s">
        <v>43</v>
      </c>
      <c r="D337" t="s">
        <v>18</v>
      </c>
      <c r="E337">
        <v>8500</v>
      </c>
    </row>
    <row r="338" spans="1:5" x14ac:dyDescent="0.3">
      <c r="A338" s="1">
        <v>45962</v>
      </c>
      <c r="B338" t="s">
        <v>37</v>
      </c>
      <c r="C338" t="s">
        <v>44</v>
      </c>
      <c r="D338" t="s">
        <v>18</v>
      </c>
      <c r="E338">
        <v>7500</v>
      </c>
    </row>
    <row r="339" spans="1:5" x14ac:dyDescent="0.3">
      <c r="A339" s="1">
        <v>45962</v>
      </c>
      <c r="B339" t="s">
        <v>37</v>
      </c>
      <c r="C339" t="s">
        <v>45</v>
      </c>
      <c r="D339" t="s">
        <v>15</v>
      </c>
      <c r="E339">
        <v>12000</v>
      </c>
    </row>
    <row r="340" spans="1:5" x14ac:dyDescent="0.3">
      <c r="A340" s="1">
        <v>45962</v>
      </c>
      <c r="B340" t="s">
        <v>37</v>
      </c>
      <c r="C340" t="s">
        <v>46</v>
      </c>
      <c r="D340" t="s">
        <v>18</v>
      </c>
      <c r="E340">
        <v>4500</v>
      </c>
    </row>
    <row r="341" spans="1:5" x14ac:dyDescent="0.3">
      <c r="A341" s="1">
        <v>45962</v>
      </c>
      <c r="B341" t="s">
        <v>37</v>
      </c>
      <c r="C341" t="s">
        <v>47</v>
      </c>
      <c r="D341" t="s">
        <v>15</v>
      </c>
      <c r="E341">
        <v>6000</v>
      </c>
    </row>
    <row r="342" spans="1:5" x14ac:dyDescent="0.3">
      <c r="A342" s="1">
        <v>45962</v>
      </c>
      <c r="B342" t="s">
        <v>37</v>
      </c>
      <c r="C342" t="s">
        <v>48</v>
      </c>
      <c r="D342" t="s">
        <v>15</v>
      </c>
      <c r="E342">
        <v>2500</v>
      </c>
    </row>
    <row r="343" spans="1:5" x14ac:dyDescent="0.3">
      <c r="A343" s="1">
        <v>45992</v>
      </c>
      <c r="B343" t="s">
        <v>5</v>
      </c>
      <c r="C343" t="s">
        <v>6</v>
      </c>
      <c r="D343" t="s">
        <v>7</v>
      </c>
      <c r="E343">
        <v>43000</v>
      </c>
    </row>
    <row r="344" spans="1:5" x14ac:dyDescent="0.3">
      <c r="A344" s="1">
        <v>45992</v>
      </c>
      <c r="B344" t="s">
        <v>5</v>
      </c>
      <c r="C344" t="s">
        <v>8</v>
      </c>
      <c r="D344" t="s">
        <v>7</v>
      </c>
      <c r="E344">
        <v>82000</v>
      </c>
    </row>
    <row r="345" spans="1:5" x14ac:dyDescent="0.3">
      <c r="A345" s="1">
        <v>45992</v>
      </c>
      <c r="B345" t="s">
        <v>5</v>
      </c>
      <c r="C345" t="s">
        <v>9</v>
      </c>
      <c r="D345" t="s">
        <v>7</v>
      </c>
      <c r="E345">
        <v>115000</v>
      </c>
    </row>
    <row r="346" spans="1:5" x14ac:dyDescent="0.3">
      <c r="A346" s="1">
        <v>45992</v>
      </c>
      <c r="B346" t="s">
        <v>5</v>
      </c>
      <c r="C346" t="s">
        <v>10</v>
      </c>
      <c r="D346" t="s">
        <v>11</v>
      </c>
      <c r="E346">
        <v>24000</v>
      </c>
    </row>
    <row r="347" spans="1:5" x14ac:dyDescent="0.3">
      <c r="A347" s="1">
        <v>45992</v>
      </c>
      <c r="B347" t="s">
        <v>5</v>
      </c>
      <c r="C347" t="s">
        <v>12</v>
      </c>
      <c r="D347" t="s">
        <v>11</v>
      </c>
      <c r="E347">
        <v>7500</v>
      </c>
    </row>
    <row r="348" spans="1:5" x14ac:dyDescent="0.3">
      <c r="A348" s="1">
        <v>45992</v>
      </c>
      <c r="B348" t="s">
        <v>13</v>
      </c>
      <c r="C348" t="s">
        <v>14</v>
      </c>
      <c r="D348" t="s">
        <v>15</v>
      </c>
      <c r="E348">
        <v>30000</v>
      </c>
    </row>
    <row r="349" spans="1:5" x14ac:dyDescent="0.3">
      <c r="A349" s="1">
        <v>45992</v>
      </c>
      <c r="B349" t="s">
        <v>13</v>
      </c>
      <c r="C349" t="s">
        <v>16</v>
      </c>
      <c r="D349" t="s">
        <v>11</v>
      </c>
      <c r="E349">
        <v>28000</v>
      </c>
    </row>
    <row r="350" spans="1:5" x14ac:dyDescent="0.3">
      <c r="A350" s="1">
        <v>45992</v>
      </c>
      <c r="B350" t="s">
        <v>13</v>
      </c>
      <c r="C350" t="s">
        <v>17</v>
      </c>
      <c r="D350" t="s">
        <v>18</v>
      </c>
      <c r="E350">
        <v>7800</v>
      </c>
    </row>
    <row r="351" spans="1:5" x14ac:dyDescent="0.3">
      <c r="A351" s="1">
        <v>45992</v>
      </c>
      <c r="B351" t="s">
        <v>13</v>
      </c>
      <c r="C351" t="s">
        <v>19</v>
      </c>
      <c r="D351" t="s">
        <v>15</v>
      </c>
      <c r="E351">
        <v>5500</v>
      </c>
    </row>
    <row r="352" spans="1:5" x14ac:dyDescent="0.3">
      <c r="A352" s="1">
        <v>45992</v>
      </c>
      <c r="B352" t="s">
        <v>20</v>
      </c>
      <c r="C352" t="s">
        <v>21</v>
      </c>
      <c r="D352" t="s">
        <v>22</v>
      </c>
      <c r="E352">
        <v>48000</v>
      </c>
    </row>
    <row r="353" spans="1:5" x14ac:dyDescent="0.3">
      <c r="A353" s="1">
        <v>45992</v>
      </c>
      <c r="B353" t="s">
        <v>20</v>
      </c>
      <c r="C353" t="s">
        <v>23</v>
      </c>
      <c r="D353" t="s">
        <v>7</v>
      </c>
      <c r="E353">
        <v>65000</v>
      </c>
    </row>
    <row r="354" spans="1:5" x14ac:dyDescent="0.3">
      <c r="A354" s="1">
        <v>45992</v>
      </c>
      <c r="B354" t="s">
        <v>20</v>
      </c>
      <c r="C354" t="s">
        <v>24</v>
      </c>
      <c r="D354" t="s">
        <v>22</v>
      </c>
      <c r="E354">
        <v>35000</v>
      </c>
    </row>
    <row r="355" spans="1:5" x14ac:dyDescent="0.3">
      <c r="A355" s="1">
        <v>45992</v>
      </c>
      <c r="B355" t="s">
        <v>20</v>
      </c>
      <c r="C355" t="s">
        <v>25</v>
      </c>
      <c r="D355" t="s">
        <v>7</v>
      </c>
      <c r="E355">
        <v>21000</v>
      </c>
    </row>
    <row r="356" spans="1:5" x14ac:dyDescent="0.3">
      <c r="A356" s="1">
        <v>45992</v>
      </c>
      <c r="B356" t="s">
        <v>20</v>
      </c>
      <c r="C356" t="s">
        <v>26</v>
      </c>
      <c r="D356" t="s">
        <v>22</v>
      </c>
      <c r="E356">
        <v>8500</v>
      </c>
    </row>
    <row r="357" spans="1:5" x14ac:dyDescent="0.3">
      <c r="A357" s="1">
        <v>45992</v>
      </c>
      <c r="B357" t="s">
        <v>20</v>
      </c>
      <c r="C357" t="s">
        <v>27</v>
      </c>
      <c r="D357" t="s">
        <v>22</v>
      </c>
      <c r="E357">
        <v>10000</v>
      </c>
    </row>
    <row r="358" spans="1:5" x14ac:dyDescent="0.3">
      <c r="A358" s="1">
        <v>45992</v>
      </c>
      <c r="B358" t="s">
        <v>20</v>
      </c>
      <c r="C358" t="s">
        <v>28</v>
      </c>
      <c r="D358" t="s">
        <v>7</v>
      </c>
      <c r="E358">
        <v>4500</v>
      </c>
    </row>
    <row r="359" spans="1:5" x14ac:dyDescent="0.3">
      <c r="A359" s="1">
        <v>45992</v>
      </c>
      <c r="B359" t="s">
        <v>29</v>
      </c>
      <c r="C359" t="s">
        <v>30</v>
      </c>
      <c r="D359" t="s">
        <v>31</v>
      </c>
      <c r="E359">
        <v>105000</v>
      </c>
    </row>
    <row r="360" spans="1:5" x14ac:dyDescent="0.3">
      <c r="A360" s="1">
        <v>45992</v>
      </c>
      <c r="B360" t="s">
        <v>29</v>
      </c>
      <c r="C360" t="s">
        <v>32</v>
      </c>
      <c r="D360" t="s">
        <v>33</v>
      </c>
      <c r="E360">
        <v>40000</v>
      </c>
    </row>
    <row r="361" spans="1:5" x14ac:dyDescent="0.3">
      <c r="A361" s="1">
        <v>45992</v>
      </c>
      <c r="B361" t="s">
        <v>29</v>
      </c>
      <c r="C361" t="s">
        <v>34</v>
      </c>
      <c r="D361" t="s">
        <v>31</v>
      </c>
      <c r="E361">
        <v>12000</v>
      </c>
    </row>
    <row r="362" spans="1:5" x14ac:dyDescent="0.3">
      <c r="A362" s="1">
        <v>45992</v>
      </c>
      <c r="B362" t="s">
        <v>29</v>
      </c>
      <c r="C362" t="s">
        <v>35</v>
      </c>
      <c r="D362" t="s">
        <v>31</v>
      </c>
      <c r="E362">
        <v>8500</v>
      </c>
    </row>
    <row r="363" spans="1:5" x14ac:dyDescent="0.3">
      <c r="A363" s="1">
        <v>45992</v>
      </c>
      <c r="B363" t="s">
        <v>29</v>
      </c>
      <c r="C363" t="s">
        <v>36</v>
      </c>
      <c r="D363" t="s">
        <v>31</v>
      </c>
      <c r="E363">
        <v>6500</v>
      </c>
    </row>
    <row r="364" spans="1:5" x14ac:dyDescent="0.3">
      <c r="A364" s="1">
        <v>45992</v>
      </c>
      <c r="B364" t="s">
        <v>37</v>
      </c>
      <c r="C364" t="s">
        <v>38</v>
      </c>
      <c r="D364" t="s">
        <v>39</v>
      </c>
      <c r="E364">
        <v>55000</v>
      </c>
    </row>
    <row r="365" spans="1:5" x14ac:dyDescent="0.3">
      <c r="A365" s="1">
        <v>45992</v>
      </c>
      <c r="B365" t="s">
        <v>37</v>
      </c>
      <c r="C365" t="s">
        <v>40</v>
      </c>
      <c r="D365" t="s">
        <v>18</v>
      </c>
      <c r="E365">
        <v>25000</v>
      </c>
    </row>
    <row r="366" spans="1:5" x14ac:dyDescent="0.3">
      <c r="A366" s="1">
        <v>45992</v>
      </c>
      <c r="B366" t="s">
        <v>37</v>
      </c>
      <c r="C366" t="s">
        <v>41</v>
      </c>
      <c r="D366" t="s">
        <v>15</v>
      </c>
      <c r="E366">
        <v>30000</v>
      </c>
    </row>
    <row r="367" spans="1:5" x14ac:dyDescent="0.3">
      <c r="A367" s="1">
        <v>45992</v>
      </c>
      <c r="B367" t="s">
        <v>37</v>
      </c>
      <c r="C367" t="s">
        <v>42</v>
      </c>
      <c r="D367" t="s">
        <v>15</v>
      </c>
      <c r="E367">
        <v>18000</v>
      </c>
    </row>
    <row r="368" spans="1:5" x14ac:dyDescent="0.3">
      <c r="A368" s="1">
        <v>45992</v>
      </c>
      <c r="B368" t="s">
        <v>37</v>
      </c>
      <c r="C368" t="s">
        <v>43</v>
      </c>
      <c r="D368" t="s">
        <v>18</v>
      </c>
      <c r="E368">
        <v>8500</v>
      </c>
    </row>
    <row r="369" spans="1:5" x14ac:dyDescent="0.3">
      <c r="A369" s="1">
        <v>45992</v>
      </c>
      <c r="B369" t="s">
        <v>37</v>
      </c>
      <c r="C369" t="s">
        <v>44</v>
      </c>
      <c r="D369" t="s">
        <v>18</v>
      </c>
      <c r="E369">
        <v>7500</v>
      </c>
    </row>
    <row r="370" spans="1:5" x14ac:dyDescent="0.3">
      <c r="A370" s="1">
        <v>45992</v>
      </c>
      <c r="B370" t="s">
        <v>37</v>
      </c>
      <c r="C370" t="s">
        <v>45</v>
      </c>
      <c r="D370" t="s">
        <v>15</v>
      </c>
      <c r="E370">
        <v>12000</v>
      </c>
    </row>
    <row r="371" spans="1:5" x14ac:dyDescent="0.3">
      <c r="A371" s="1">
        <v>45992</v>
      </c>
      <c r="B371" t="s">
        <v>37</v>
      </c>
      <c r="C371" t="s">
        <v>46</v>
      </c>
      <c r="D371" t="s">
        <v>18</v>
      </c>
      <c r="E371">
        <v>4500</v>
      </c>
    </row>
    <row r="372" spans="1:5" x14ac:dyDescent="0.3">
      <c r="A372" s="1">
        <v>45992</v>
      </c>
      <c r="B372" t="s">
        <v>37</v>
      </c>
      <c r="C372" t="s">
        <v>47</v>
      </c>
      <c r="D372" t="s">
        <v>15</v>
      </c>
      <c r="E372">
        <v>6000</v>
      </c>
    </row>
    <row r="373" spans="1:5" x14ac:dyDescent="0.3">
      <c r="A373" s="1">
        <v>45992</v>
      </c>
      <c r="B373" t="s">
        <v>37</v>
      </c>
      <c r="C373" t="s">
        <v>48</v>
      </c>
      <c r="D373" t="s">
        <v>15</v>
      </c>
      <c r="E373">
        <v>2500</v>
      </c>
    </row>
  </sheetData>
  <sheetProtection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D38510-EAD2-4ED7-9590-46F78D3641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Analysis</vt:lpstr>
      <vt:lpstr>Cleaned_Data</vt:lpstr>
      <vt:lpstr>Actuals_Data</vt:lpstr>
      <vt:lpstr>Budget_Data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Jetfire Asus A15</dc:creator>
  <cp:lastModifiedBy>Jetfire Asus A15</cp:lastModifiedBy>
  <dcterms:created xsi:type="dcterms:W3CDTF">2026-02-15T04:03:04Z</dcterms:created>
  <dcterms:modified xsi:type="dcterms:W3CDTF">2026-03-09T04:47:29Z</dcterms:modified>
</cp:coreProperties>
</file>